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4.xml" ContentType="application/vnd.openxmlformats-officedocument.spreadsheetml.table+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08b9f0a758541de" /></Relationships>
</file>

<file path=xl/workbook.xml><?xml version="1.0" encoding="utf-8"?>
<x:workbook xmlns:x="http://schemas.openxmlformats.org/spreadsheetml/2006/main">
  <x:sheets>
    <x:sheet xmlns:r="http://schemas.openxmlformats.org/officeDocument/2006/relationships" name="Final Audited Dataset" sheetId="1" r:id="R8791e12ef7234c88"/>
    <x:sheet xmlns:r="http://schemas.openxmlformats.org/officeDocument/2006/relationships" name="README" sheetId="2" r:id="Rb13af432d94a4142"/>
    <x:sheet xmlns:r="http://schemas.openxmlformats.org/officeDocument/2006/relationships" name="Audit Matrix" sheetId="3" r:id="Rfb26e37a92d141ed"/>
    <x:sheet xmlns:r="http://schemas.openxmlformats.org/officeDocument/2006/relationships" name="Coding Matrix" sheetId="4" r:id="Rab803428c0ee431f"/>
    <x:sheet xmlns:r="http://schemas.openxmlformats.org/officeDocument/2006/relationships" name="Evidence Ledger" sheetId="5" r:id="R649a80374a994f91"/>
    <x:sheet xmlns:r="http://schemas.openxmlformats.org/officeDocument/2006/relationships" name="Audit Summary" sheetId="6" r:id="Re4680c9259644483"/>
    <x:sheet xmlns:r="http://schemas.openxmlformats.org/officeDocument/2006/relationships" name="Change Log" sheetId="7" r:id="Rf47c10568dce454c"/>
    <x:sheet xmlns:r="http://schemas.openxmlformats.org/officeDocument/2006/relationships" name="README - Audit Rules" sheetId="8" r:id="R65cf652286f349c5"/>
    <x:sheet xmlns:r="http://schemas.openxmlformats.org/officeDocument/2006/relationships" name="RQ1 Statistics" sheetId="9" r:id="R7b53d1b8e28e44ae"/>
    <x:sheet xmlns:r="http://schemas.openxmlformats.org/officeDocument/2006/relationships" name="RQ2 Evidence Matrix" sheetId="10" r:id="Rac912abf893d4d81"/>
    <x:sheet xmlns:r="http://schemas.openxmlformats.org/officeDocument/2006/relationships" name="RQ2 Synthesis" sheetId="11" r:id="R8f1df94eef67490d"/>
  </x:sheets>
</x:workbook>
</file>

<file path=xl/sharedStrings.xml><?xml version="1.0" encoding="utf-8"?>
<x:sst xmlns:x="http://schemas.openxmlformats.org/spreadsheetml/2006/main"/>
</file>

<file path=xl/styles.xml><?xml version="1.0" encoding="utf-8"?>
<x:styleSheet xmlns:x="http://schemas.openxmlformats.org/spreadsheetml/2006/main">
  <x:fonts count="11">
    <x:font>
      <x:sz val="10"/>
      <x:color rgb="FF000000"/>
      <x:name val="Arial"/>
    </x:font>
    <x:font>
      <x:color theme="1"/>
      <x:name val="Arial"/>
    </x:font>
    <x:font>
      <x:b/>
      <x:sz val="14"/>
    </x:font>
    <x:font>
      <x:b/>
    </x:font>
    <x:font>
      <x:b/>
      <x:color rgb="FFFFFFFF"/>
    </x:font>
    <x:font>
      <x:b/>
      <x:sz val="10"/>
      <x:color rgb="FFFFFFFF"/>
      <x:name val="Arial"/>
    </x:font>
    <x:font>
      <x:b/>
      <x:sz val="10"/>
      <x:color rgb="FF1F1F1F"/>
      <x:name val="Arial"/>
    </x:font>
    <x:font>
      <x:b/>
      <x:sz val="14"/>
      <x:color rgb="FFFFFFFF"/>
      <x:name val="Arial"/>
    </x:font>
    <x:font>
      <x:i/>
      <x:sz val="10"/>
      <x:color rgb="FF334155"/>
      <x:name val="Arial"/>
    </x:font>
    <x:font>
      <x:b/>
      <x:sz val="10"/>
      <x:color rgb="FF163A5F"/>
      <x:name val="Arial"/>
    </x:font>
    <x:font>
      <x:b/>
      <x:sz val="10"/>
      <x:color rgb="FF000000"/>
      <x:name val="Arial"/>
    </x:font>
  </x:fonts>
  <x:fills count="17">
    <x:fill>
      <x:patternFill patternType="none"/>
    </x:fill>
    <x:fill>
      <x:patternFill patternType="lightGray"/>
    </x:fill>
    <x:fill>
      <x:patternFill patternType="solid">
        <x:fgColor rgb="FF1F4E78"/>
      </x:patternFill>
    </x:fill>
    <x:fill>
      <x:patternFill patternType="solid">
        <x:fgColor rgb="FFD9EAD3"/>
      </x:patternFill>
    </x:fill>
    <x:fill>
      <x:patternFill patternType="solid">
        <x:fgColor rgb="FFFFF2CC"/>
      </x:patternFill>
    </x:fill>
    <x:fill>
      <x:patternFill patternType="solid">
        <x:fgColor rgb="FFF4CCCC"/>
      </x:patternFill>
    </x:fill>
    <x:fill>
      <x:patternFill patternType="solid">
        <x:fgColor rgb="FFFCE5CD"/>
      </x:patternFill>
    </x:fill>
    <x:fill>
      <x:patternFill patternType="solid">
        <x:fgColor rgb="FF1F4E78"/>
      </x:patternFill>
    </x:fill>
    <x:fill>
      <x:patternFill patternType="solid">
        <x:fgColor rgb="FFD9EAF7"/>
      </x:patternFill>
    </x:fill>
    <x:fill>
      <x:patternFill patternType="solid">
        <x:fgColor rgb="FF163A5F"/>
      </x:patternFill>
    </x:fill>
    <x:fill>
      <x:patternFill patternType="solid">
        <x:fgColor rgb="FFEAF2F8"/>
      </x:patternFill>
    </x:fill>
    <x:fill>
      <x:patternFill patternType="solid">
        <x:fgColor rgb="FFDCE6F1"/>
      </x:patternFill>
    </x:fill>
    <x:fill>
      <x:patternFill patternType="solid">
        <x:fgColor rgb="FF2F6690"/>
      </x:patternFill>
    </x:fill>
    <x:fill>
      <x:patternFill patternType="solid">
        <x:fgColor rgb="FFFFF2CC"/>
      </x:patternFill>
    </x:fill>
    <x:fill>
      <x:patternFill patternType="solid">
        <x:fgColor rgb="FF1F4E78"/>
      </x:patternFill>
    </x:fill>
    <x:fill>
      <x:patternFill patternType="solid">
        <x:fgColor rgb="FF17365D"/>
      </x:patternFill>
    </x:fill>
    <x:fill>
      <x:patternFill patternType="solid">
        <x:fgColor rgb="FF5B9BD5"/>
      </x:patternFill>
    </x:fill>
  </x:fills>
  <x:borders count="2">
    <x:border/>
    <x:border>
      <x:bottom style="thin">
        <x:color rgb="FFB7B7B7"/>
      </x:bottom>
    </x:border>
  </x:borders>
  <x:cellStyleXfs count="1">
    <x:xf numFmtId="0" fontId="0" fillId="0" borderId="0"/>
  </x:cellStyleXfs>
  <x:cellXfs count="74">
    <x:xf numFmtId="0" fontId="0" fillId="0" borderId="0" xfId="0" applyAlignment="1">
      <x:alignment vertical="bottom"/>
    </x:xf>
    <x:xf numFmtId="0" fontId="1" fillId="0" borderId="0" xfId="0"/>
    <x:xf numFmtId="0" fontId="0" fillId="0" borderId="0" xfId="0"/>
    <x:xf numFmtId="0" fontId="4" fillId="2" borderId="1" xfId="0" applyAlignment="1">
      <x:alignment horizontal="center" vertical="center" wrapText="1"/>
    </x:xf>
    <x:xf numFmtId="0" fontId="1" fillId="0" borderId="1" xfId="0" applyAlignment="1">
      <x:alignment vertical="top" wrapText="1"/>
    </x:xf>
    <x:xf numFmtId="0" fontId="1" fillId="3" borderId="1" xfId="0" applyAlignment="1">
      <x:alignment vertical="top" wrapText="1"/>
    </x:xf>
    <x:xf numFmtId="0" fontId="1" fillId="4" borderId="1" xfId="0" applyAlignment="1">
      <x:alignment vertical="top" wrapText="1"/>
    </x:xf>
    <x:xf numFmtId="0" fontId="1" fillId="5" borderId="1" xfId="0" applyAlignment="1">
      <x:alignment vertical="top" wrapText="1"/>
    </x:xf>
    <x:xf numFmtId="0" fontId="1" fillId="6" borderId="1" xfId="0" applyAlignment="1">
      <x:alignment vertical="top" wrapText="1"/>
    </x:xf>
    <x:xf numFmtId="0" fontId="2" fillId="0" borderId="0" xfId="0"/>
    <x:xf numFmtId="0" fontId="3" fillId="0" borderId="0" xfId="0"/>
    <x:xf numFmtId="0" fontId="0" fillId="0" borderId="0" xfId="0" applyAlignment="1">
      <x:alignment wrapText="1"/>
    </x:xf>
    <x:xf numFmtId="0" fontId="0" fillId="0" borderId="0" xfId="0" applyNumberFormat="1" applyFont="1" applyFill="1" applyBorder="1" applyAlignment="1">
      <x:alignment vertical="bottom"/>
    </x:xf>
    <x:xf numFmtId="0" fontId="1" fillId="0" borderId="0" xfId="0" applyNumberFormat="1" applyFont="1" applyFill="1" applyBorder="1"/>
    <x:xf numFmtId="0" fontId="0" fillId="0" borderId="0" xfId="0" applyNumberFormat="1" applyFont="1" applyFill="1" applyBorder="1"/>
    <x:xf numFmtId="0" fontId="4" fillId="2" borderId="1" xfId="0" applyNumberFormat="1" applyFont="1" applyFill="1" applyBorder="1" applyAlignment="1">
      <x:alignment horizontal="center" vertical="center" wrapText="1"/>
    </x:xf>
    <x:xf numFmtId="0" fontId="1" fillId="0" borderId="1" xfId="0" applyNumberFormat="1" applyFont="1" applyFill="1" applyBorder="1" applyAlignment="1">
      <x:alignment vertical="top" wrapText="1"/>
    </x:xf>
    <x:xf numFmtId="0" fontId="1" fillId="3" borderId="1" xfId="0" applyNumberFormat="1" applyFont="1" applyFill="1" applyBorder="1" applyAlignment="1">
      <x:alignment vertical="top" wrapText="1"/>
    </x:xf>
    <x:xf numFmtId="0" fontId="1" fillId="4" borderId="1" xfId="0" applyNumberFormat="1" applyFont="1" applyFill="1" applyBorder="1" applyAlignment="1">
      <x:alignment vertical="top" wrapText="1"/>
    </x:xf>
    <x:xf numFmtId="0" fontId="1" fillId="5" borderId="1" xfId="0" applyNumberFormat="1" applyFont="1" applyFill="1" applyBorder="1" applyAlignment="1">
      <x:alignment vertical="top" wrapText="1"/>
    </x:xf>
    <x:xf numFmtId="0" fontId="1" fillId="6" borderId="1" xfId="0" applyNumberFormat="1" applyFont="1" applyFill="1" applyBorder="1" applyAlignment="1">
      <x:alignment vertical="top" wrapText="1"/>
    </x:xf>
    <x:xf numFmtId="0" fontId="2" fillId="0" borderId="0" xfId="0" applyNumberFormat="1" applyFont="1" applyFill="1" applyBorder="1"/>
    <x:xf numFmtId="0" fontId="3" fillId="0" borderId="0" xfId="0" applyNumberFormat="1" applyFont="1" applyFill="1" applyBorder="1"/>
    <x:xf numFmtId="0" fontId="0" fillId="0" borderId="0" xfId="0" applyNumberFormat="1" applyFont="1" applyFill="1" applyBorder="1" applyAlignment="1">
      <x:alignment wrapText="1"/>
    </x:xf>
    <x:xf numFmtId="0" fontId="0" fillId="7" borderId="0" xfId="0" applyNumberFormat="1" applyFont="1" applyFill="1" applyBorder="1" applyAlignment="1">
      <x:alignment vertical="bottom"/>
    </x:xf>
    <x:xf numFmtId="0" fontId="5" fillId="7" borderId="0" xfId="0" applyNumberFormat="1" applyFont="1" applyFill="1" applyBorder="1" applyAlignment="1">
      <x:alignment vertical="bottom"/>
    </x:xf>
    <x:xf numFmtId="0" fontId="5" fillId="7" borderId="0" xfId="0" applyNumberFormat="1" applyFont="1" applyFill="1" applyBorder="1" applyAlignment="1">
      <x:alignment vertical="bottom" wrapText="1"/>
    </x:xf>
    <x:xf numFmtId="0" fontId="5" fillId="7" borderId="0" xfId="0" applyNumberFormat="1" applyFont="1" applyFill="1" applyBorder="1" applyAlignment="1">
      <x:alignment horizontal="center" vertical="bottom" wrapText="1"/>
    </x:xf>
    <x:xf numFmtId="0" fontId="5" fillId="7" borderId="0" xfId="0" applyNumberFormat="1" applyFont="1" applyFill="1" applyBorder="1" applyAlignment="1">
      <x:alignment horizontal="center" vertical="center" wrapText="1"/>
    </x:xf>
    <x:xf numFmtId="0" fontId="0" fillId="8" borderId="0" xfId="0" applyNumberFormat="1" applyFont="1" applyFill="1" applyBorder="1" applyAlignment="1">
      <x:alignment vertical="bottom"/>
    </x:xf>
    <x:xf numFmtId="0" fontId="6" fillId="8" borderId="0" xfId="0" applyNumberFormat="1" applyFont="1" applyFill="1" applyBorder="1" applyAlignment="1">
      <x:alignment vertical="bottom"/>
    </x:xf>
    <x:xf numFmtId="0" fontId="6" fillId="8" borderId="0" xfId="0" applyNumberFormat="1" applyFont="1" applyFill="1" applyBorder="1" applyAlignment="1">
      <x:alignment vertical="bottom" wrapText="1"/>
    </x:xf>
    <x:xf numFmtId="0" fontId="0" fillId="0" borderId="0" xfId="0" applyNumberFormat="1" applyFont="1" applyFill="1" applyBorder="1" applyAlignment="1">
      <x:alignment vertical="bottom" wrapText="1"/>
    </x:xf>
    <x:xf numFmtId="0" fontId="0" fillId="2" borderId="0" xfId="0" applyNumberFormat="1" applyFont="1" applyFill="1" applyBorder="1" applyAlignment="1">
      <x:alignment vertical="bottom"/>
    </x:xf>
    <x:xf numFmtId="0" fontId="5" fillId="2" borderId="0" xfId="0" applyNumberFormat="1" applyFont="1" applyFill="1" applyBorder="1" applyAlignment="1">
      <x:alignment vertical="bottom"/>
    </x:xf>
    <x:xf numFmtId="0" fontId="5" fillId="2" borderId="0" xfId="0" applyNumberFormat="1" applyFont="1" applyFill="1" applyBorder="1" applyAlignment="1">
      <x:alignment vertical="bottom" wrapText="1"/>
    </x:xf>
    <x:xf numFmtId="0" fontId="5" fillId="2" borderId="0" xfId="0" applyNumberFormat="1" applyFont="1" applyFill="1" applyBorder="1" applyAlignment="1">
      <x:alignment horizontal="center" vertical="bottom" wrapText="1"/>
    </x:xf>
    <x:xf numFmtId="0" fontId="5" fillId="2" borderId="0" xfId="0" applyNumberFormat="1" applyFont="1" applyFill="1" applyBorder="1" applyAlignment="1">
      <x:alignment horizontal="center" vertical="center" wrapText="1"/>
    </x:xf>
    <x:xf numFmtId="0" fontId="0" fillId="9" borderId="0" xfId="0" applyNumberFormat="1" applyFont="1" applyFill="1" applyBorder="1" applyAlignment="1">
      <x:alignment vertical="bottom"/>
    </x:xf>
    <x:xf numFmtId="0" fontId="7" fillId="9" borderId="0" xfId="0" applyNumberFormat="1" applyFont="1" applyFill="1" applyBorder="1" applyAlignment="1">
      <x:alignment vertical="bottom"/>
    </x:xf>
    <x:xf numFmtId="0" fontId="7" fillId="9" borderId="0" xfId="0" applyNumberFormat="1" applyFont="1" applyFill="1" applyBorder="1" applyAlignment="1">
      <x:alignment horizontal="center" vertical="bottom"/>
    </x:xf>
    <x:xf numFmtId="0" fontId="7" fillId="9" borderId="0" xfId="0" applyNumberFormat="1" applyFont="1" applyFill="1" applyBorder="1" applyAlignment="1">
      <x:alignment horizontal="center" vertical="center"/>
    </x:xf>
    <x:xf numFmtId="0" fontId="0" fillId="10" borderId="0" xfId="0" applyNumberFormat="1" applyFont="1" applyFill="1" applyBorder="1" applyAlignment="1">
      <x:alignment vertical="bottom"/>
    </x:xf>
    <x:xf numFmtId="0" fontId="8" fillId="10" borderId="0" xfId="0" applyNumberFormat="1" applyFont="1" applyFill="1" applyBorder="1" applyAlignment="1">
      <x:alignment vertical="bottom"/>
    </x:xf>
    <x:xf numFmtId="0" fontId="8" fillId="10" borderId="0" xfId="0" applyNumberFormat="1" applyFont="1" applyFill="1" applyBorder="1" applyAlignment="1">
      <x:alignment vertical="bottom" wrapText="1"/>
    </x:xf>
    <x:xf numFmtId="0" fontId="0" fillId="11" borderId="0" xfId="0" applyNumberFormat="1" applyFont="1" applyFill="1" applyBorder="1" applyAlignment="1">
      <x:alignment vertical="bottom"/>
    </x:xf>
    <x:xf numFmtId="0" fontId="9" fillId="11" borderId="0" xfId="0" applyNumberFormat="1" applyFont="1" applyFill="1" applyBorder="1" applyAlignment="1">
      <x:alignment vertical="bottom"/>
    </x:xf>
    <x:xf numFmtId="0" fontId="9" fillId="11" borderId="0" xfId="0" applyNumberFormat="1" applyFont="1" applyFill="1" applyBorder="1" applyAlignment="1">
      <x:alignment vertical="bottom" wrapText="1"/>
    </x:xf>
    <x:xf numFmtId="0" fontId="0" fillId="12" borderId="0" xfId="0" applyNumberFormat="1" applyFont="1" applyFill="1" applyBorder="1" applyAlignment="1">
      <x:alignment vertical="bottom"/>
    </x:xf>
    <x:xf numFmtId="0" fontId="5" fillId="12" borderId="0" xfId="0" applyNumberFormat="1" applyFont="1" applyFill="1" applyBorder="1" applyAlignment="1">
      <x:alignment vertical="bottom"/>
    </x:xf>
    <x:xf numFmtId="0" fontId="5" fillId="12" borderId="0" xfId="0" applyNumberFormat="1" applyFont="1" applyFill="1" applyBorder="1" applyAlignment="1">
      <x:alignment vertical="bottom" wrapText="1"/>
    </x:xf>
    <x:xf numFmtId="0" fontId="5" fillId="12" borderId="0" xfId="0" applyNumberFormat="1" applyFont="1" applyFill="1" applyBorder="1" applyAlignment="1">
      <x:alignment horizontal="center" vertical="bottom" wrapText="1"/>
    </x:xf>
    <x:xf numFmtId="0" fontId="5" fillId="12" borderId="0" xfId="0" applyNumberFormat="1" applyFont="1" applyFill="1" applyBorder="1" applyAlignment="1">
      <x:alignment horizontal="center" vertical="center" wrapText="1"/>
    </x:xf>
    <x:xf numFmtId="0" fontId="9" fillId="12" borderId="0" xfId="0" applyNumberFormat="1" applyFont="1" applyFill="1" applyBorder="1" applyAlignment="1">
      <x:alignment vertical="bottom" wrapText="1"/>
    </x:xf>
    <x:xf numFmtId="0" fontId="8" fillId="10" borderId="0" xfId="0" applyNumberFormat="1" applyFont="1" applyFill="1" applyBorder="1" applyAlignment="1">
      <x:alignment vertical="center" wrapText="1"/>
    </x:xf>
    <x:xf numFmtId="0" fontId="0" fillId="0" borderId="0" xfId="0" applyNumberFormat="1" applyFont="1" applyFill="1" applyBorder="1" applyAlignment="1">
      <x:alignment vertical="center"/>
    </x:xf>
    <x:xf numFmtId="0" fontId="0" fillId="0" borderId="0" xfId="0" applyNumberFormat="1" applyFont="1" applyFill="1" applyBorder="1" applyAlignment="1">
      <x:alignment vertical="center" wrapText="1"/>
    </x:xf>
    <x:xf numFmtId="0" fontId="7" fillId="9" borderId="0" xfId="0" applyNumberFormat="1" applyFont="1" applyFill="1" applyBorder="1" applyAlignment="1">
      <x:alignment horizontal="center" vertical="center" wrapText="1"/>
    </x:xf>
    <x:xf numFmtId="0" fontId="0" fillId="11" borderId="0" xfId="0" applyNumberFormat="1" applyFont="1" applyFill="1" applyBorder="1" applyAlignment="1">
      <x:alignment vertical="bottom" wrapText="1"/>
    </x:xf>
    <x:xf numFmtId="0" fontId="0" fillId="13" borderId="0" xfId="0" applyNumberFormat="1" applyFont="1" applyFill="1" applyBorder="1" applyAlignment="1">
      <x:alignment vertical="bottom" wrapText="1"/>
    </x:xf>
    <x:xf numFmtId="0" fontId="10" fillId="13" borderId="0" xfId="0" applyNumberFormat="1" applyFont="1" applyFill="1" applyBorder="1" applyAlignment="1">
      <x:alignment vertical="bottom" wrapText="1"/>
    </x:xf>
    <x:xf numFmtId="0" fontId="0" fillId="4" borderId="0" xfId="0" applyNumberFormat="1" applyFont="1" applyFill="1" applyBorder="1" applyAlignment="1">
      <x:alignment vertical="bottom" wrapText="1"/>
    </x:xf>
    <x:xf numFmtId="0" fontId="10" fillId="4" borderId="0" xfId="0" applyNumberFormat="1" applyFont="1" applyFill="1" applyBorder="1" applyAlignment="1">
      <x:alignment vertical="bottom" wrapText="1"/>
    </x:xf>
    <x:xf numFmtId="0" fontId="0" fillId="14" borderId="0" xfId="0" applyNumberFormat="1" applyFont="1" applyFill="1" applyBorder="1" applyAlignment="1">
      <x:alignment vertical="bottom"/>
    </x:xf>
    <x:xf numFmtId="0" fontId="5" fillId="14" borderId="0" xfId="0" applyNumberFormat="1" applyFont="1" applyFill="1" applyBorder="1" applyAlignment="1">
      <x:alignment vertical="bottom"/>
    </x:xf>
    <x:xf numFmtId="0" fontId="5" fillId="14" borderId="0" xfId="0" applyNumberFormat="1" applyFont="1" applyFill="1" applyBorder="1" applyAlignment="1">
      <x:alignment vertical="bottom" wrapText="1"/>
    </x:xf>
    <x:xf numFmtId="0" fontId="5" fillId="14" borderId="0" xfId="0" applyNumberFormat="1" applyFont="1" applyFill="1" applyBorder="1" applyAlignment="1">
      <x:alignment vertical="center" wrapText="1"/>
    </x:xf>
    <x:xf numFmtId="0" fontId="0" fillId="15" borderId="0" xfId="0" applyNumberFormat="1" applyFont="1" applyFill="1" applyBorder="1" applyAlignment="1">
      <x:alignment vertical="bottom"/>
    </x:xf>
    <x:xf numFmtId="0" fontId="7" fillId="15" borderId="0" xfId="0" applyNumberFormat="1" applyFont="1" applyFill="1" applyBorder="1" applyAlignment="1">
      <x:alignment vertical="bottom"/>
    </x:xf>
    <x:xf numFmtId="0" fontId="7" fillId="15" borderId="0" xfId="0" applyNumberFormat="1" applyFont="1" applyFill="1" applyBorder="1" applyAlignment="1">
      <x:alignment horizontal="center" vertical="bottom"/>
    </x:xf>
    <x:xf numFmtId="0" fontId="0" fillId="16" borderId="0" xfId="0" applyNumberFormat="1" applyFont="1" applyFill="1" applyBorder="1" applyAlignment="1">
      <x:alignment vertical="bottom"/>
    </x:xf>
    <x:xf numFmtId="0" fontId="5" fillId="16" borderId="0" xfId="0" applyNumberFormat="1" applyFont="1" applyFill="1" applyBorder="1" applyAlignment="1">
      <x:alignment vertical="bottom"/>
    </x:xf>
    <x:xf numFmtId="0" fontId="5" fillId="16" borderId="0" xfId="0" applyNumberFormat="1" applyFont="1" applyFill="1" applyBorder="1" applyAlignment="1">
      <x:alignment vertical="bottom" wrapText="1"/>
    </x:xf>
    <x:xf numFmtId="0" fontId="5" fillId="16" borderId="0" xfId="0" applyNumberFormat="1" applyFont="1" applyFill="1" applyBorder="1" applyAlignment="1">
      <x:alignment horizontal="center" vertical="center" wrapText="1"/>
    </x:xf>
  </x:cellXfs>
  <x:cellStyles count="1">
    <x:cellStyle name="Normal" xfId="0"/>
  </x:cellStyles>
  <x:dxfs count="6">
    <x:dxf>
      <x:fill>
        <x:patternFill>
          <x:bgColor rgb="FFFCE4D6"/>
        </x:patternFill>
      </x:fill>
    </x:dxf>
    <x:dxf>
      <x:fill>
        <x:patternFill>
          <x:bgColor rgb="FFD9EAD3"/>
        </x:patternFill>
      </x:fill>
    </x:dxf>
    <x:dxf>
      <x:fill>
        <x:patternFill>
          <x:bgColor rgb="FFFFF2CC"/>
        </x:patternFill>
      </x:fill>
    </x:dxf>
    <x:dxf>
      <x:fill>
        <x:patternFill>
          <x:bgColor rgb="FFD9EAD3"/>
        </x:patternFill>
      </x:fill>
    </x:dxf>
    <x:dxf>
      <x:fill>
        <x:patternFill>
          <x:bgColor rgb="FFFFF2CC"/>
        </x:patternFill>
      </x:fill>
    </x:dxf>
    <x:dxf>
      <x:fill>
        <x:patternFill>
          <x:bgColor rgb="FFF4CCCC"/>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7922526fd1ea4d6a" /><Relationship Type="http://schemas.openxmlformats.org/officeDocument/2006/relationships/theme" Target="/xl/theme/theme1.xml" Id="Rbfce4f585ebc43a9" /><Relationship Type="http://schemas.openxmlformats.org/officeDocument/2006/relationships/sharedStrings" Target="/xl/sharedStrings.xml" Id="R702b95ecbe694bcc" /><Relationship Type="http://schemas.openxmlformats.org/officeDocument/2006/relationships/worksheet" Target="/xl/worksheets/sheet1.xml" Id="R8791e12ef7234c88" /><Relationship Type="http://schemas.openxmlformats.org/officeDocument/2006/relationships/worksheet" Target="/xl/worksheets/sheet2.xml" Id="Rb13af432d94a4142" /><Relationship Type="http://schemas.openxmlformats.org/officeDocument/2006/relationships/worksheet" Target="/xl/worksheets/sheet3.xml" Id="Rfb26e37a92d141ed" /><Relationship Type="http://schemas.openxmlformats.org/officeDocument/2006/relationships/worksheet" Target="/xl/worksheets/sheet4.xml" Id="Rab803428c0ee431f" /><Relationship Type="http://schemas.openxmlformats.org/officeDocument/2006/relationships/worksheet" Target="/xl/worksheets/sheet5.xml" Id="R649a80374a994f91" /><Relationship Type="http://schemas.openxmlformats.org/officeDocument/2006/relationships/worksheet" Target="/xl/worksheets/sheet6.xml" Id="Re4680c9259644483" /><Relationship Type="http://schemas.openxmlformats.org/officeDocument/2006/relationships/worksheet" Target="/xl/worksheets/sheet7.xml" Id="Rf47c10568dce454c" /><Relationship Type="http://schemas.openxmlformats.org/officeDocument/2006/relationships/worksheet" Target="/xl/worksheets/sheet8.xml" Id="R65cf652286f349c5" /><Relationship Type="http://schemas.openxmlformats.org/officeDocument/2006/relationships/worksheet" Target="/xl/worksheets/sheet9.xml" Id="R7b53d1b8e28e44ae" /><Relationship Type="http://schemas.openxmlformats.org/officeDocument/2006/relationships/worksheet" Target="/xl/worksheets/sheet10.xml" Id="Rac912abf893d4d81" /><Relationship Type="http://schemas.openxmlformats.org/officeDocument/2006/relationships/worksheet" Target="/xl/worksheets/sheet11.xml" Id="R8f1df94eef67490d" /></Relationships>
</file>

<file path=xl/tables/table1.xml><?xml version="1.0" encoding="utf-8"?>
<x:table xmlns:x="http://schemas.openxmlformats.org/spreadsheetml/2006/main" id="1" name="AuditMatrixTable" displayName="AuditMatrixTable" ref="A1:V51" headerRowCount="1" totalsRowCount="0" totalsRowShown="0">
  <x:tableColumns count="22">
    <x:tableColumn id="1" name="No."/>
    <x:tableColumn id="2" name="Company Name &amp; Code"/>
    <x:tableColumn id="3" name="Country"/>
    <x:tableColumn id="4" name="Sector"/>
    <x:tableColumn id="5" name="Original ISO Status"/>
    <x:tableColumn id="6" name="Audited Status (as of 2026-09-14)"/>
    <x:tableColumn id="7" name="Evidence Tier"/>
    <x:tableColumn id="8" name="Entity Alignment"/>
    <x:tableColumn id="9" name="Certificate ID"/>
    <x:tableColumn id="10" name="Certification Body"/>
    <x:tableColumn id="11" name="Accreditation / Scheme"/>
    <x:tableColumn id="12" name="Observed Scope (Evidence-based)"/>
    <x:tableColumn id="13" name="Scope Evidence Level"/>
    <x:tableColumn id="14" name="Observed Boundary Type"/>
    <x:tableColumn id="15" name="Potential Ring-Fencing"/>
    <x:tableColumn id="16" name="Strategic Intent Evidence"/>
    <x:tableColumn id="17" name="Initial / Key Date"/>
    <x:tableColumn id="18" name="Valid Until"/>
    <x:tableColumn id="19" name="Primary Source URL"/>
    <x:tableColumn id="20" name="Secondary Source URL"/>
    <x:tableColumn id="21" name="Audit Note"/>
    <x:tableColumn id="22" name="RQ1 Scope Analysis Eligible"/>
  </x:tableColumns>
  <x:tableStyleInfo name="TableStyleMedium2" showFirstColumn="0" showLastColumn="0" showRowStripes="1" showColumnStripes="0"/>
</x:table>
</file>

<file path=xl/tables/table2.xml><?xml version="1.0" encoding="utf-8"?>
<x:table xmlns:x="http://schemas.openxmlformats.org/spreadsheetml/2006/main" id="2" name="CodingMatrixTable" displayName="CodingMatrixTable" ref="A1:N51" headerRowCount="1" totalsRowCount="0" totalsRowShown="0">
  <x:tableColumns count="14">
    <x:tableColumn id="1" name="No."/>
    <x:tableColumn id="2" name="Company Name &amp; Code"/>
    <x:tableColumn id="3" name="Country Code"/>
    <x:tableColumn id="4" name="Certification Current/Usable"/>
    <x:tableColumn id="5" name="Evidence Tier Code"/>
    <x:tableColumn id="6" name="Scope Evidence Level"/>
    <x:tableColumn id="7" name="Entity Alignment Code"/>
    <x:tableColumn id="8" name="Boundary Type Code"/>
    <x:tableColumn id="9" name="Potential Ring-Fencing Code"/>
    <x:tableColumn id="10" name="Strategic Intent Code"/>
    <x:tableColumn id="11" name="International/Named Multi-Entity Scope"/>
    <x:tableColumn id="12" name="Post-legislation Scope Change Evidence"/>
    <x:tableColumn id="13" name="Scope Analysis Population"/>
    <x:tableColumn id="14" name="Coding Note"/>
  </x:tableColumns>
  <x:tableStyleInfo name="TableStyleMedium2" showFirstColumn="0" showLastColumn="0" showRowStripes="1" showColumnStripes="0"/>
</x:table>
</file>

<file path=xl/tables/table3.xml><?xml version="1.0" encoding="utf-8"?>
<x:table xmlns:x="http://schemas.openxmlformats.org/spreadsheetml/2006/main" id="3" name="EvidenceLedgerTable" displayName="EvidenceLedgerTable" ref="A1:I59" headerRowCount="1" totalsRowCount="0" totalsRowShown="0">
  <x:tableColumns count="9">
    <x:tableColumn id="1" name="Dataset No."/>
    <x:tableColumn id="2" name="Company"/>
    <x:tableColumn id="3" name="Source Type"/>
    <x:tableColumn id="4" name="Evidence Tier"/>
    <x:tableColumn id="5" name="Publisher / Owner"/>
    <x:tableColumn id="6" name="URL"/>
    <x:tableColumn id="7" name="What the source establishes"/>
    <x:tableColumn id="8" name="What it does NOT establish"/>
    <x:tableColumn id="9" name="Audit date"/>
  </x:tableColumns>
  <x:tableStyleInfo name="TableStyleMedium2" showFirstColumn="0" showLastColumn="0" showRowStripes="1" showColumnStripes="0"/>
</x:table>
</file>

<file path=xl/tables/table4.xml><?xml version="1.0" encoding="utf-8"?>
<x:table xmlns:x="http://schemas.openxmlformats.org/spreadsheetml/2006/main" id="4" name="RQ2EvidenceTable" displayName="RQ2EvidenceTable" ref="A1:K13" headerRowCount="1" totalsRowCount="0" totalsRowShown="0">
  <x:tableColumns count="11">
    <x:tableColumn id="1" name="Claim ID"/>
    <x:tableColumn id="2" name="Research Proposition"/>
    <x:tableColumn id="3" name="Entity / Source"/>
    <x:tableColumn id="4" name="Evidence Date"/>
    <x:tableColumn id="5" name="Evidence Type"/>
    <x:tableColumn id="6" name="Direct Evidence / Extract"/>
    <x:tableColumn id="7" name="What It Supports"/>
    <x:tableColumn id="8" name="Strength"/>
    <x:tableColumn id="9" name="Important Limitation"/>
    <x:tableColumn id="10" name="Audit Coding Implication"/>
    <x:tableColumn id="11" name="Source URL"/>
  </x:tableColumns>
  <x:tableStyleInfo name="TableStyleMedium2" showFirstColumn="0" showLastColumn="0" showRowStripes="1" showColumnStripes="0"/>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bf829c4ba15c4994" /></Relationships>
</file>

<file path=xl/worksheets/_rels/sheet4.xml.rels>&#65279;<?xml version="1.0" encoding="utf-8"?><Relationships xmlns="http://schemas.openxmlformats.org/package/2006/relationships"><Relationship Type="http://schemas.openxmlformats.org/officeDocument/2006/relationships/table" Target="/xl/tables/table2.xml" Id="Recef08891d2540a8" /></Relationships>
</file>

<file path=xl/worksheets/_rels/sheet5.xml.rels>&#65279;<?xml version="1.0" encoding="utf-8"?><Relationships xmlns="http://schemas.openxmlformats.org/package/2006/relationships"><Relationship Type="http://schemas.openxmlformats.org/officeDocument/2006/relationships/table" Target="/xl/tables/table3.xml" Id="Rc6f50a85426e46b8" /></Relationships>
</file>

<file path=xl/worksheets/_rels/sheet10.xml.rels>&#65279;<?xml version="1.0" encoding="utf-8"?><Relationships xmlns="http://schemas.openxmlformats.org/package/2006/relationships"><Relationship Type="http://schemas.openxmlformats.org/officeDocument/2006/relationships/table" Target="/xl/tables/table4.xml" Id="R3f9e156036a74a5d" /></Relationships>
</file>

<file path=xl/worksheets/sheet1.xml><?xml version="1.0" encoding="utf-8"?>
<x:worksheet xmlns:x="http://schemas.openxmlformats.org/spreadsheetml/2006/main">
  <x:sheetViews>
    <x:sheetView showGridLines="0" workbookViewId="0"/>
  </x:sheetViews>
  <x:sheetFormatPr baseColWidth="8" defaultColWidth="12.630000114440918" defaultRowHeight="15.75"/>
  <x:cols>
    <x:col min="1" max="1" width="42" style="2" customWidth="1"/>
    <x:col min="2" max="2" width="15" style="2" customWidth="1"/>
    <x:col min="3" max="3" width="34" style="2" customWidth="1"/>
    <x:col min="4" max="4" width="34" style="2" customWidth="1"/>
    <x:col min="5" max="5" width="26" style="2" customWidth="1"/>
    <x:col min="6" max="6" width="27" style="2" customWidth="1"/>
    <x:col min="7" max="7" width="68" style="2" customWidth="1"/>
    <x:col min="8" max="8" width="36" style="2" customWidth="1"/>
    <x:col min="9" max="9" width="44" style="2" customWidth="1"/>
    <x:col min="10" max="10" width="55" style="2" customWidth="1"/>
  </x:cols>
  <x:sheetData>
    <x:row r="1">
      <x:c r="A1" s="3" t="inlineStr">
        <x:is>
          <x:t xml:space="preserve">Company Name &amp; Code</x:t>
        </x:is>
      </x:c>
      <x:c r="B1" s="3" t="inlineStr">
        <x:is>
          <x:t xml:space="preserve">Country</x:t>
        </x:is>
      </x:c>
      <x:c r="C1" s="3" t="inlineStr">
        <x:is>
          <x:t xml:space="preserve">Sector</x:t>
        </x:is>
      </x:c>
      <x:c r="D1" s="3" t="inlineStr">
        <x:is>
          <x:t xml:space="preserve">ISO 27001 Status</x:t>
        </x:is>
      </x:c>
      <x:c r="E1" s="3" t="inlineStr">
        <x:is>
          <x:t xml:space="preserve">Registrar (CB)</x:t>
        </x:is>
      </x:c>
      <x:c r="F1" s="3" t="inlineStr">
        <x:is>
          <x:t xml:space="preserve">Accreditation</x:t>
        </x:is>
      </x:c>
      <x:c r="G1" s="3" t="inlineStr">
        <x:is>
          <x:t xml:space="preserve">Scope Statement (Extract / Summary)</x:t>
        </x:is>
      </x:c>
      <x:c r="H1" s="3" t="inlineStr">
        <x:is>
          <x:t xml:space="preserve">Scope Type</x:t>
        </x:is>
      </x:c>
      <x:c r="I1" s="3" t="inlineStr">
        <x:is>
          <x:t xml:space="preserve">Initial / Current Validity</x:t>
        </x:is>
      </x:c>
      <x:c r="J1" s="3" t="inlineStr">
        <x:is>
          <x:t xml:space="preserve">Data Source &amp; Verifiable Reference</x:t>
        </x:is>
      </x:c>
    </x:row>
    <x:row r="2">
      <x:c r="A2" s="4" t="inlineStr">
        <x:is>
          <x:t xml:space="preserve">Telstra Corporation Limited (ASX: TLS)</x:t>
        </x:is>
      </x:c>
      <x:c r="B2" s="4" t="inlineStr">
        <x:is>
          <x:t xml:space="preserve">Australia</x:t>
        </x:is>
      </x:c>
      <x:c r="C2" s="4" t="inlineStr">
        <x:is>
          <x:t xml:space="preserve">Telecommunications &amp; ICT Services</x:t>
        </x:is>
      </x:c>
      <x:c r="D2" s="5" t="inlineStr">
        <x:is>
          <x:t xml:space="preserve">Certified (Multi-Entity / Defined Scope)</x:t>
        </x:is>
      </x:c>
      <x:c r="E2" s="4" t="inlineStr">
        <x:is>
          <x:t xml:space="preserve">BSI / other CB records vary by entity</x:t>
        </x:is>
      </x:c>
      <x:c r="F2" s="4" t="inlineStr">
        <x:is>
          <x:t xml:space="preserve">JAS-ANZ / other applicable accreditation</x:t>
        </x:is>
      </x:c>
      <x:c r="G2" s="4" t="inlineStr">
        <x:is>
          <x:t xml:space="preserve">Information-security management certification is evidenced for defined Telstra legal entities/services; do not interpret this as blanket certification of every Telstra operation.</x:t>
        </x:is>
      </x:c>
      <x:c r="H2" s="4" t="inlineStr">
        <x:is>
          <x:t xml:space="preserve">Ring-fenced / Multi-Entity</x:t>
        </x:is>
      </x:c>
      <x:c r="I2" s="4" t="inlineStr">
        <x:is>
          <x:t xml:space="preserve">Initial date not retained as ~2011 without certificate-level evidence; current certification evidence available</x:t>
        </x:is>
      </x:c>
      <x:c r="J2" s="4" t="inlineStr">
        <x:is>
          <x:t xml:space="preserve">Telstra Customer Assurance / official security disclosures</x:t>
        </x:is>
      </x:c>
    </x:row>
    <x:row r="3">
      <x:c r="A3" s="4" t="inlineStr">
        <x:is>
          <x:t xml:space="preserve">TPG Telecom Limited (ASX: TPG)</x:t>
        </x:is>
      </x:c>
      <x:c r="B3" s="4" t="inlineStr">
        <x:is>
          <x:t xml:space="preserve">Australia</x:t>
        </x:is>
      </x:c>
      <x:c r="C3" s="4" t="inlineStr">
        <x:is>
          <x:t xml:space="preserve">Telecommunications &amp; Managed Services</x:t>
        </x:is>
      </x:c>
      <x:c r="D3" s="6" t="inlineStr">
        <x:is>
          <x:t xml:space="preserve">Unverifiable</x:t>
        </x:is>
      </x:c>
      <x:c r="E3" s="4" t="inlineStr">
        <x:is>
          <x:t xml:space="preserve">Not sufficiently established</x:t>
        </x:is>
      </x:c>
      <x:c r="F3" s="4" t="inlineStr">
        <x:is>
          <x:t xml:space="preserve">Not sufficiently established</x:t>
        </x:is>
      </x:c>
      <x:c r="G3" s="4" t="inlineStr">
        <x:is>
          <x:t xml:space="preserve">No qualifying current certificate record was established for the listed parent entity with certificate-level CB, ID and validity.</x:t>
        </x:is>
      </x:c>
      <x:c r="H3" s="4" t="inlineStr">
        <x:is>
          <x:t xml:space="preserve">Unknown</x:t>
        </x:is>
      </x:c>
      <x:c r="I3" s="4" t="inlineStr">
        <x:is>
          <x:t xml:space="preserve">Current validity not established</x:t>
        </x:is>
      </x:c>
      <x:c r="J3" s="4" t="inlineStr">
        <x:is>
          <x:t xml:space="preserve">JAS-ANZ / CB-directory search; TPG corporate disclosures</x:t>
        </x:is>
      </x:c>
    </x:row>
    <x:row r="4">
      <x:c r="A4" s="4" t="inlineStr">
        <x:is>
          <x:t xml:space="preserve">Singtel Optus Pty Limited (Optus)</x:t>
        </x:is>
      </x:c>
      <x:c r="B4" s="4" t="inlineStr">
        <x:is>
          <x:t xml:space="preserve">Australia</x:t>
        </x:is>
      </x:c>
      <x:c r="C4" s="4" t="inlineStr">
        <x:is>
          <x:t xml:space="preserve">Telecommunications &amp; Managed ICT</x:t>
        </x:is>
      </x:c>
      <x:c r="D4" s="5" t="inlineStr">
        <x:is>
          <x:t xml:space="preserve">Certified (Historical / Service Scope)</x:t>
        </x:is>
      </x:c>
      <x:c r="E4" s="4" t="inlineStr">
        <x:is>
          <x:t xml:space="preserve">BSI / SAI Global</x:t>
        </x:is>
      </x:c>
      <x:c r="F4" s="4" t="inlineStr">
        <x:is>
          <x:t xml:space="preserve">JAS-ANZ / applicable accreditation</x:t>
        </x:is>
      </x:c>
      <x:c r="G4" s="4" t="inlineStr">
        <x:is>
          <x:t xml:space="preserve">Official Optus evidence identifies ISO 27001 certification for EXPAN co-location services; this does not establish enterprise-wide Optus certification.</x:t>
        </x:is>
      </x:c>
      <x:c r="H4" s="4" t="inlineStr">
        <x:is>
          <x:t xml:space="preserve">Ring-fenced (Co-location / Service)</x:t>
        </x:is>
      </x:c>
      <x:c r="I4" s="4" t="inlineStr">
        <x:is>
          <x:t xml:space="preserve">Initial: 2008; historical evidence verified; current enterprise-wide status not inferred</x:t>
        </x:is>
      </x:c>
      <x:c r="J4" s="4" t="inlineStr">
        <x:is>
          <x:t xml:space="preserve">Optus official announcement: 27 Feb 2008</x:t>
        </x:is>
      </x:c>
    </x:row>
    <x:row r="5">
      <x:c r="A5" s="4" t="inlineStr">
        <x:is>
          <x:t xml:space="preserve">NEXTDC Limited (ASX: NXT)</x:t>
        </x:is>
      </x:c>
      <x:c r="B5" s="4" t="inlineStr">
        <x:is>
          <x:t xml:space="preserve">Australia</x:t>
        </x:is>
      </x:c>
      <x:c r="C5" s="4" t="inlineStr">
        <x:is>
          <x:t xml:space="preserve">Data Centre Operator (Pure-play)</x:t>
        </x:is>
      </x:c>
      <x:c r="D5" s="5" t="inlineStr">
        <x:is>
          <x:t xml:space="preserve">Certified (Fleet-wide Core Service Scope)</x:t>
        </x:is>
      </x:c>
      <x:c r="E5" s="4" t="inlineStr">
        <x:is>
          <x:t xml:space="preserve">INTERTEK SAI Global</x:t>
        </x:is>
      </x:c>
      <x:c r="F5" s="4" t="inlineStr">
        <x:is>
          <x:t xml:space="preserve">JAS-ANZ / applicable accreditation</x:t>
        </x:is>
      </x:c>
      <x:c r="G5" s="4" t="inlineStr">
        <x:is>
          <x:t xml:space="preserve">Certificate ITGOV40020 covers provision, operation, maintenance and hosting of NEXTDC data centres.</x:t>
        </x:is>
      </x:c>
      <x:c r="H5" s="4" t="inlineStr">
        <x:is>
          <x:t xml:space="preserve">Comprehensive (Core Business Fleet-wide)</x:t>
        </x:is>
      </x:c>
      <x:c r="I5" s="4" t="inlineStr">
        <x:is>
          <x:t xml:space="preserve">Initial: 1 Jul 2014; valid to 16 May 2028</x:t>
        </x:is>
      </x:c>
      <x:c r="J5" s="4" t="inlineStr">
        <x:is>
          <x:t xml:space="preserve">NEXTDC certificate ITGOV40020</x:t>
        </x:is>
      </x:c>
    </x:row>
    <x:row r="6">
      <x:c r="A6" s="4" t="inlineStr">
        <x:is>
          <x:t xml:space="preserve">Macquarie Technology Group (ASX: MAQ)</x:t>
        </x:is>
      </x:c>
      <x:c r="B6" s="4" t="inlineStr">
        <x:is>
          <x:t xml:space="preserve">Australia</x:t>
        </x:is>
      </x:c>
      <x:c r="C6" s="4" t="inlineStr">
        <x:is>
          <x:t xml:space="preserve">Cloud, Cyber Security &amp; Data Centres</x:t>
        </x:is>
      </x:c>
      <x:c r="D6" s="5" t="inlineStr">
        <x:is>
          <x:t xml:space="preserve">Certified (Subsidiary / Operating Entity)</x:t>
        </x:is>
      </x:c>
      <x:c r="E6" s="4" t="inlineStr">
        <x:is>
          <x:t xml:space="preserve">INTERTEK SAI Global</x:t>
        </x:is>
      </x:c>
      <x:c r="F6" s="4" t="inlineStr">
        <x:is>
          <x:t xml:space="preserve">Applicable accreditation</x:t>
        </x:is>
      </x:c>
      <x:c r="G6" s="4" t="inlineStr">
        <x:is>
          <x:t xml:space="preserve">Certificate holder is Macquarie Technology Operations Pty Limited; certificate ISM20044 covers Macquarie Cloud Services and Macquarie Data Centres.</x:t>
        </x:is>
      </x:c>
      <x:c r="H6" s="4" t="inlineStr">
        <x:is>
          <x:t xml:space="preserve">Ring-fenced (Operating Entities)</x:t>
        </x:is>
      </x:c>
      <x:c r="I6" s="4" t="inlineStr">
        <x:is>
          <x:t xml:space="preserve">Initial: 21 Apr 2005; valid to 8 Feb 2029</x:t>
        </x:is>
      </x:c>
      <x:c r="J6" s="4" t="inlineStr">
        <x:is>
          <x:t xml:space="preserve">Macquarie certificate ISM20044</x:t>
        </x:is>
      </x:c>
    </x:row>
    <x:row r="7">
      <x:c r="A7" s="4" t="inlineStr">
        <x:is>
          <x:t xml:space="preserve">China Telecom Corporation Limited (中国电信, 601728)</x:t>
        </x:is>
      </x:c>
      <x:c r="B7" s="4" t="inlineStr">
        <x:is>
          <x:t xml:space="preserve">China</x:t>
        </x:is>
      </x:c>
      <x:c r="C7" s="4" t="inlineStr">
        <x:is>
          <x:t xml:space="preserve">Integrated Telecommunications</x:t>
        </x:is>
      </x:c>
      <x:c r="D7" s="6" t="inlineStr">
        <x:is>
          <x:t xml:space="preserve">Unverifiable (Parent Level)</x:t>
        </x:is>
      </x:c>
      <x:c r="E7" s="4" t="inlineStr">
        <x:is>
          <x:t xml:space="preserve">Various subsidiaries / service entities</x:t>
        </x:is>
      </x:c>
      <x:c r="F7" s="4" t="inlineStr">
        <x:is>
          <x:t xml:space="preserve">CNAS / CB-specific</x:t>
        </x:is>
      </x:c>
      <x:c r="G7" s="4" t="inlineStr">
        <x:is>
          <x:t xml:space="preserve">ISO 27001 evidence exists within China Telecom-related entities/services, but a current parent-level certificate for China Telecom Corporation Limited was not established.</x:t>
        </x:is>
      </x:c>
      <x:c r="H7" s="4" t="inlineStr">
        <x:is>
          <x:t xml:space="preserve">Ring-fenced (Subsidiary / Service)</x:t>
        </x:is>
      </x:c>
      <x:c r="I7" s="4" t="inlineStr">
        <x:is>
          <x:t xml:space="preserve">Parent-level current validity not established</x:t>
        </x:is>
      </x:c>
      <x:c r="J7" s="4" t="inlineStr">
        <x:is>
          <x:t xml:space="preserve">CNCA / CQC / CEPREI / China Telecom evidence search</x:t>
        </x:is>
      </x:c>
    </x:row>
    <x:row r="8">
      <x:c r="A8" s="4" t="inlineStr">
        <x:is>
          <x:t xml:space="preserve">China Mobile Communications Group (中国移动, 600941)</x:t>
        </x:is>
      </x:c>
      <x:c r="B8" s="4" t="inlineStr">
        <x:is>
          <x:t xml:space="preserve">China</x:t>
        </x:is>
      </x:c>
      <x:c r="C8" s="4" t="inlineStr">
        <x:is>
          <x:t xml:space="preserve">Integrated Telecommunications</x:t>
        </x:is>
      </x:c>
      <x:c r="D8" s="5" t="inlineStr">
        <x:is>
          <x:t xml:space="preserve">Certified (Subsidiary); Parent Unverifiable</x:t>
        </x:is>
      </x:c>
      <x:c r="E8" s="4" t="inlineStr">
        <x:is>
          <x:t xml:space="preserve">SGS</x:t>
        </x:is>
      </x:c>
      <x:c r="F8" s="4" t="inlineStr">
        <x:is>
          <x:t xml:space="preserve">Applicable accreditation</x:t>
        </x:is>
      </x:c>
      <x:c r="G8" s="4" t="inlineStr">
        <x:is>
          <x:t xml:space="preserve">China Mobile International Limited (CMI), a wholly owned subsidiary, received ISO/IEC 27001:2022; this cannot be attributed automatically to China Mobile Group parent.</x:t>
        </x:is>
      </x:c>
      <x:c r="H8" s="4" t="inlineStr">
        <x:is>
          <x:t xml:space="preserve">Ring-fenced (Subsidiary / IT Systems)</x:t>
        </x:is>
      </x:c>
      <x:c r="I8" s="4" t="inlineStr">
        <x:is>
          <x:t xml:space="preserve">CMI certification publicly confirmed 19 Dec 2025; parent-level date not established</x:t>
        </x:is>
      </x:c>
      <x:c r="J8" s="4" t="inlineStr">
        <x:is>
          <x:t xml:space="preserve">SGS: China Mobile International ISO/IEC 27001:2022</x:t>
        </x:is>
      </x:c>
    </x:row>
    <x:row r="9">
      <x:c r="A9" s="4" t="inlineStr">
        <x:is>
          <x:t xml:space="preserve">China United Network Communications (中国联通, 600050)</x:t>
        </x:is>
      </x:c>
      <x:c r="B9" s="4" t="inlineStr">
        <x:is>
          <x:t xml:space="preserve">China</x:t>
        </x:is>
      </x:c>
      <x:c r="C9" s="4" t="inlineStr">
        <x:is>
          <x:t xml:space="preserve">Integrated Telecommunications</x:t>
        </x:is>
      </x:c>
      <x:c r="D9" s="6" t="inlineStr">
        <x:is>
          <x:t xml:space="preserve">Unverifiable (Parent Level)</x:t>
        </x:is>
      </x:c>
      <x:c r="E9" s="4" t="inlineStr">
        <x:is>
          <x:t xml:space="preserve">Various subsidiary/service certifications</x:t>
        </x:is>
      </x:c>
      <x:c r="F9" s="4" t="inlineStr">
        <x:is>
          <x:t xml:space="preserve">CNAS / CB-specific</x:t>
        </x:is>
      </x:c>
      <x:c r="G9" s="4" t="inlineStr">
        <x:is>
          <x:t xml:space="preserve">Unicom-related entities/services have certification evidence, but the listed parent-level certificate was not established under the strict evidence rule.</x:t>
        </x:is>
      </x:c>
      <x:c r="H9" s="4" t="inlineStr">
        <x:is>
          <x:t xml:space="preserve">Ring-fenced (Subsidiary / Service)</x:t>
        </x:is>
      </x:c>
      <x:c r="I9" s="4" t="inlineStr">
        <x:is>
          <x:t xml:space="preserve">Current parent-level validity not established</x:t>
        </x:is>
      </x:c>
      <x:c r="J9" s="4" t="inlineStr">
        <x:is>
          <x:t xml:space="preserve">CNCA / CQC / CEPREI / corporate evidence search</x:t>
        </x:is>
      </x:c>
    </x:row>
    <x:row r="10">
      <x:c r="A10" s="4" t="inlineStr">
        <x:is>
          <x:t xml:space="preserve">Alibaba Cloud Computing Co., Ltd. (阿里云计算有限公司)</x:t>
        </x:is>
      </x:c>
      <x:c r="B10" s="4" t="inlineStr">
        <x:is>
          <x:t xml:space="preserve">China</x:t>
        </x:is>
      </x:c>
      <x:c r="C10" s="4" t="inlineStr">
        <x:is>
          <x:t xml:space="preserve">Cloud Computing / ICT</x:t>
        </x:is>
      </x:c>
      <x:c r="D10" s="5" t="inlineStr">
        <x:is>
          <x:t xml:space="preserve">Certified</x:t>
        </x:is>
      </x:c>
      <x:c r="E10" s="4" t="inlineStr">
        <x:is>
          <x:t xml:space="preserve">BSI</x:t>
        </x:is>
      </x:c>
      <x:c r="F10" s="4" t="inlineStr">
        <x:is>
          <x:t xml:space="preserve">Applicable BSI accreditation</x:t>
        </x:is>
      </x:c>
      <x:c r="G10" s="4" t="inlineStr">
        <x:is>
          <x:t xml:space="preserve">BSI certificate IS 591687 identifies Alibaba Cloud Computing Ltd.; scope: cloud-computing data-centre operation and maintenance services based on third-party IDC.</x:t>
        </x:is>
      </x:c>
      <x:c r="H10" s="4" t="inlineStr">
        <x:is>
          <x:t xml:space="preserve">Comprehensive (Defined Cloud/DC Scope)</x:t>
        </x:is>
      </x:c>
      <x:c r="I10" s="4" t="inlineStr">
        <x:is>
          <x:t xml:space="preserve">ISO/IEC 27001:2022; 5 Nov 2012–3 Nov 2027</x:t>
        </x:is>
      </x:c>
      <x:c r="J10" s="4" t="inlineStr">
        <x:is>
          <x:t xml:space="preserve">BSI certificate IS 591687</x:t>
        </x:is>
      </x:c>
    </x:row>
    <x:row r="11">
      <x:c r="A11" s="4" t="inlineStr">
        <x:is>
          <x:t xml:space="preserve">Tencent Cloud Computing (Beijing) Co., Ltd. (腾讯云计算（北京）有限责任公司)</x:t>
        </x:is>
      </x:c>
      <x:c r="B11" s="4" t="inlineStr">
        <x:is>
          <x:t xml:space="preserve">China</x:t>
        </x:is>
      </x:c>
      <x:c r="C11" s="4" t="inlineStr">
        <x:is>
          <x:t xml:space="preserve">Cloud Computing / ICT</x:t>
        </x:is>
      </x:c>
      <x:c r="D11" s="6" t="inlineStr">
        <x:is>
          <x:t xml:space="preserve">Unverifiable</x:t>
        </x:is>
      </x:c>
      <x:c r="E11" s="4" t="inlineStr">
        <x:is>
          <x:t xml:space="preserve">DNV / BSI claimed</x:t>
        </x:is>
      </x:c>
      <x:c r="F11" s="4" t="inlineStr">
        <x:is>
          <x:t xml:space="preserve">Not sufficiently established</x:t>
        </x:is>
      </x:c>
      <x:c r="G11" s="4" t="inlineStr">
        <x:is>
          <x:t xml:space="preserve">Public compliance evidence exists, but the original CB combination, certificate ID and current validity were not sufficiently established at certificate level.</x:t>
        </x:is>
      </x:c>
      <x:c r="H11" s="4" t="inlineStr">
        <x:is>
          <x:t xml:space="preserve">Ring-fenced / Unknown</x:t>
        </x:is>
      </x:c>
      <x:c r="I11" s="4" t="inlineStr">
        <x:is>
          <x:t xml:space="preserve">Current certificate validity not established</x:t>
        </x:is>
      </x:c>
      <x:c r="J11" s="4" t="inlineStr">
        <x:is>
          <x:t xml:space="preserve">Tencent Cloud compliance / CB search</x:t>
        </x:is>
      </x:c>
    </x:row>
    <x:row r="12">
      <x:c r="A12" s="4" t="inlineStr">
        <x:is>
          <x:t xml:space="preserve">Technology One Limited (ASX: TNE)</x:t>
        </x:is>
      </x:c>
      <x:c r="B12" s="4" t="inlineStr">
        <x:is>
          <x:t xml:space="preserve">Australia</x:t>
        </x:is>
      </x:c>
      <x:c r="C12" s="4" t="inlineStr">
        <x:is>
          <x:t xml:space="preserve">Enterprise Software / SaaS</x:t>
        </x:is>
      </x:c>
      <x:c r="D12" s="5" t="inlineStr">
        <x:is>
          <x:t xml:space="preserve">Certified</x:t>
        </x:is>
      </x:c>
      <x:c r="E12" s="4" t="inlineStr">
        <x:is>
          <x:t xml:space="preserve">Southpac Certifications</x:t>
        </x:is>
      </x:c>
      <x:c r="F12" s="4" t="inlineStr">
        <x:is>
          <x:t xml:space="preserve">Applicable accreditation</x:t>
        </x:is>
      </x:c>
      <x:c r="G12" s="4" t="inlineStr">
        <x:is>
          <x:t xml:space="preserve">Certificate 1322 ISMS; ISO/IEC 27001:2022. Scope relates to TechnologyOne's information-security management system; do not retain the original BSI attribution.</x:t>
        </x:is>
      </x:c>
      <x:c r="H12" s="4" t="inlineStr">
        <x:is>
          <x:t xml:space="preserve">Comprehensive (Defined Corporate/SaaS Scope)</x:t>
        </x:is>
      </x:c>
      <x:c r="I12" s="4" t="inlineStr">
        <x:is>
          <x:t xml:space="preserve">Original certification: 8 Nov 2012; current certification: 24 Jul 2024; expiry: 7 Nov 2027</x:t>
        </x:is>
      </x:c>
      <x:c r="J12" s="4" t="inlineStr">
        <x:is>
          <x:t xml:space="preserve">TechnologyOne certificate 1322 ISMS</x:t>
        </x:is>
      </x:c>
    </x:row>
    <x:row r="13">
      <x:c r="A13" s="4" t="inlineStr">
        <x:is>
          <x:t xml:space="preserve">Megaport Limited (ASX: MP1)</x:t>
        </x:is>
      </x:c>
      <x:c r="B13" s="4" t="inlineStr">
        <x:is>
          <x:t xml:space="preserve">Australia</x:t>
        </x:is>
      </x:c>
      <x:c r="C13" s="4" t="inlineStr">
        <x:is>
          <x:t xml:space="preserve">Cloud Connectivity / Data Centre</x:t>
        </x:is>
      </x:c>
      <x:c r="D13" s="5" t="inlineStr">
        <x:is>
          <x:t xml:space="preserve">Certified</x:t>
        </x:is>
      </x:c>
      <x:c r="E13" s="4" t="inlineStr">
        <x:is>
          <x:t xml:space="preserve">Not retained as BSI without evidence</x:t>
        </x:is>
      </x:c>
      <x:c r="F13" s="4" t="inlineStr">
        <x:is>
          <x:t xml:space="preserve">Applicable certification body</x:t>
        </x:is>
      </x:c>
      <x:c r="G13" s="4" t="inlineStr">
        <x:is>
          <x:t xml:space="preserve">Megaport's FY21 corporate governance statement states ISO 27001 certification was achieved in December 2020; original 2019 date is corrected.</x:t>
        </x:is>
      </x:c>
      <x:c r="H13" s="4" t="inlineStr">
        <x:is>
          <x:t xml:space="preserve">Core Business / Service Scope</x:t>
        </x:is>
      </x:c>
      <x:c r="I13" s="4" t="inlineStr">
        <x:is>
          <x:t xml:space="preserve">Initial: Dec 2020; current certificate metadata not independently established here</x:t>
        </x:is>
      </x:c>
      <x:c r="J13" s="4" t="inlineStr">
        <x:is>
          <x:t xml:space="preserve">Megaport FY21 Corporate Governance Statement</x:t>
        </x:is>
      </x:c>
    </x:row>
    <x:row r="14">
      <x:c r="A14" s="4" t="inlineStr">
        <x:is>
          <x:t xml:space="preserve">Data#3 Limited (ASX: DTL)</x:t>
        </x:is>
      </x:c>
      <x:c r="B14" s="4" t="inlineStr">
        <x:is>
          <x:t xml:space="preserve">Australia</x:t>
        </x:is>
      </x:c>
      <x:c r="C14" s="4" t="inlineStr">
        <x:is>
          <x:t xml:space="preserve">Managed IT Services</x:t>
        </x:is>
      </x:c>
      <x:c r="D14" s="5" t="inlineStr">
        <x:is>
          <x:t xml:space="preserve">Certified (Defined Scope)</x:t>
        </x:is>
      </x:c>
      <x:c r="E14" s="4" t="inlineStr">
        <x:is>
          <x:t xml:space="preserve">Certification body not retained without certificate</x:t>
        </x:is>
      </x:c>
      <x:c r="F14" s="4" t="inlineStr">
        <x:is>
          <x:t xml:space="preserve">Applicable accreditation</x:t>
        </x:is>
      </x:c>
      <x:c r="G14" s="4" t="inlineStr">
        <x:is>
          <x:t xml:space="preserve">Official disclosures support ISO 27001 certification, but the original broad NOC/SOC/cloud scope is narrowed to the documented managed-services context.</x:t>
        </x:is>
      </x:c>
      <x:c r="H14" s="4" t="inlineStr">
        <x:is>
          <x:t xml:space="preserve">Ring-fenced (Managed Services)</x:t>
        </x:is>
      </x:c>
      <x:c r="I14" s="4" t="inlineStr">
        <x:is>
          <x:t xml:space="preserve">Current certificate metadata not fully established</x:t>
        </x:is>
      </x:c>
      <x:c r="J14" s="4" t="inlineStr">
        <x:is>
          <x:t xml:space="preserve">Data#3 official governance / ISO disclosures</x:t>
        </x:is>
      </x:c>
    </x:row>
    <x:row r="15">
      <x:c r="A15" s="4" t="inlineStr">
        <x:is>
          <x:t xml:space="preserve">Dicker Data Limited (ASX: DDR)</x:t>
        </x:is>
      </x:c>
      <x:c r="B15" s="4" t="inlineStr">
        <x:is>
          <x:t xml:space="preserve">Australia</x:t>
        </x:is>
      </x:c>
      <x:c r="C15" s="4" t="inlineStr">
        <x:is>
          <x:t xml:space="preserve">ICT Distribution</x:t>
        </x:is>
      </x:c>
      <x:c r="D15" s="6" t="inlineStr">
        <x:is>
          <x:t xml:space="preserve">Unverifiable</x:t>
        </x:is>
      </x:c>
      <x:c r="E15" s="4" t="inlineStr">
        <x:is>
          <x:t xml:space="preserve">Not established</x:t>
        </x:is>
      </x:c>
      <x:c r="F15" s="4" t="inlineStr">
        <x:is>
          <x:t xml:space="preserve">Not established</x:t>
        </x:is>
      </x:c>
      <x:c r="G15" s="4" t="inlineStr">
        <x:is>
          <x:t xml:space="preserve">No qualifying public current ISO 27001 certificate for the listed parent was established.</x:t>
        </x:is>
      </x:c>
      <x:c r="H15" s="4" t="inlineStr">
        <x:is>
          <x:t xml:space="preserve">Unknown</x:t>
        </x:is>
      </x:c>
      <x:c r="I15" s="4" t="inlineStr">
        <x:is>
          <x:t xml:space="preserve">Current validity not established</x:t>
        </x:is>
      </x:c>
      <x:c r="J15" s="4" t="inlineStr">
        <x:is>
          <x:t xml:space="preserve">JAS-ANZ / CB / Dicker Data search</x:t>
        </x:is>
      </x:c>
    </x:row>
    <x:row r="16">
      <x:c r="A16" s="4" t="inlineStr">
        <x:is>
          <x:t xml:space="preserve">Iress Limited (ASX: IRE)</x:t>
        </x:is>
      </x:c>
      <x:c r="B16" s="4" t="inlineStr">
        <x:is>
          <x:t xml:space="preserve">Australia</x:t>
        </x:is>
      </x:c>
      <x:c r="C16" s="4" t="inlineStr">
        <x:is>
          <x:t xml:space="preserve">Financial / Enterprise Software</x:t>
        </x:is>
      </x:c>
      <x:c r="D16" s="5" t="inlineStr">
        <x:is>
          <x:t xml:space="preserve">Certified (Defined Scope)</x:t>
        </x:is>
      </x:c>
      <x:c r="E16" s="4" t="inlineStr">
        <x:is>
          <x:t xml:space="preserve">BSI (historical/current transition evidence)</x:t>
        </x:is>
      </x:c>
      <x:c r="F16" s="4" t="inlineStr">
        <x:is>
          <x:t xml:space="preserve">Applicable accreditation</x:t>
        </x:is>
      </x:c>
      <x:c r="G16" s="4" t="inlineStr">
        <x:is>
          <x:t xml:space="preserve">Iress disclosed ISO/IEC 27001:2013 certification and later transition to ISO 27001:2022; exact current certificate metadata should not be invented.</x:t>
        </x:is>
      </x:c>
      <x:c r="H16" s="4" t="inlineStr">
        <x:is>
          <x:t xml:space="preserve">Ring-fenced / Defined ISMS Scope</x:t>
        </x:is>
      </x:c>
      <x:c r="I16" s="4" t="inlineStr">
        <x:is>
          <x:t xml:space="preserve">Historical certificate: 28 Nov 2021–21 Apr 2025; 2022 transition publicly disclosed</x:t>
        </x:is>
      </x:c>
      <x:c r="J16" s="4" t="inlineStr">
        <x:is>
          <x:t xml:space="preserve">Iress Annual Report 2024</x:t>
        </x:is>
      </x:c>
    </x:row>
    <x:row r="17">
      <x:c r="A17" s="4" t="inlineStr">
        <x:is>
          <x:t xml:space="preserve">Yonyou Network Technology Co., Ltd. (用友网络, 600588)</x:t>
        </x:is>
      </x:c>
      <x:c r="B17" s="4" t="inlineStr">
        <x:is>
          <x:t xml:space="preserve">China</x:t>
        </x:is>
      </x:c>
      <x:c r="C17" s="4" t="inlineStr">
        <x:is>
          <x:t xml:space="preserve">Enterprise Software / Cloud</x:t>
        </x:is>
      </x:c>
      <x:c r="D17" s="5" t="inlineStr">
        <x:is>
          <x:t xml:space="preserve">Certified (Defined Product/Service Scope)</x:t>
        </x:is>
      </x:c>
      <x:c r="E17" s="4" t="inlineStr">
        <x:is>
          <x:t xml:space="preserve">Certification body not retained without certificate</x:t>
        </x:is>
      </x:c>
      <x:c r="F17" s="4" t="inlineStr">
        <x:is>
          <x:t xml:space="preserve">Applicable accreditation</x:t>
        </x:is>
      </x:c>
      <x:c r="G17" s="4" t="inlineStr">
        <x:is>
          <x:t xml:space="preserve">Yonyou publicly confirms ISO 27001 certification; exact product/service scope is retained conservatively rather than treating it as group-wide.</x:t>
        </x:is>
      </x:c>
      <x:c r="H17" s="4" t="inlineStr">
        <x:is>
          <x:t xml:space="preserve">Ring-fenced (Cloud / Product Scope)</x:t>
        </x:is>
      </x:c>
      <x:c r="I17" s="4" t="inlineStr">
        <x:is>
          <x:t xml:space="preserve">Current certificate date not established at certificate level</x:t>
        </x:is>
      </x:c>
      <x:c r="J17" s="4" t="inlineStr">
        <x:is>
          <x:t xml:space="preserve">Yonyou official Trust Center</x:t>
        </x:is>
      </x:c>
    </x:row>
    <x:row r="18">
      <x:c r="A18" s="4" t="inlineStr">
        <x:is>
          <x:t xml:space="preserve">Kingdee International Software Group Co., Ltd. (金蝶国际, 0268.HK)</x:t>
        </x:is>
      </x:c>
      <x:c r="B18" s="4" t="inlineStr">
        <x:is>
          <x:t xml:space="preserve">Hong Kong / China</x:t>
        </x:is>
      </x:c>
      <x:c r="C18" s="4" t="inlineStr">
        <x:is>
          <x:t xml:space="preserve">Enterprise Software / Cloud</x:t>
        </x:is>
      </x:c>
      <x:c r="D18" s="5" t="inlineStr">
        <x:is>
          <x:t xml:space="preserve">Certified (Product / Platform Scope)</x:t>
        </x:is>
      </x:c>
      <x:c r="E18" s="4" t="inlineStr">
        <x:is>
          <x:t xml:space="preserve">Certification body not retained without current certificate</x:t>
        </x:is>
      </x:c>
      <x:c r="F18" s="4" t="inlineStr">
        <x:is>
          <x:t xml:space="preserve">Applicable accreditation</x:t>
        </x:is>
      </x:c>
      <x:c r="G18" s="4" t="inlineStr">
        <x:is>
          <x:t xml:space="preserve">Current ESG evidence identifies ISO/IEC 27001:2022 coverage for Kingdee Cloud Constellation SaaS, Kingdee Cloud Cosmic PaaS and related PaaS scope.</x:t>
        </x:is>
      </x:c>
      <x:c r="H18" s="4" t="inlineStr">
        <x:is>
          <x:t xml:space="preserve">Ring-fenced (Product / Platform)</x:t>
        </x:is>
      </x:c>
      <x:c r="I18" s="4" t="inlineStr">
        <x:is>
          <x:t xml:space="preserve">Current validity stated through 28 Aug 2026; historical certifications also disclosed</x:t>
        </x:is>
      </x:c>
      <x:c r="J18" s="4" t="inlineStr">
        <x:is>
          <x:t xml:space="preserve">Kingdee 2024 ESG Report</x:t>
        </x:is>
      </x:c>
    </x:row>
    <x:row r="19">
      <x:c r="A19" s="4" t="inlineStr">
        <x:is>
          <x:t xml:space="preserve">Shanghai Baosight Software Co., Ltd. (宝信软件, 600845)</x:t>
        </x:is>
      </x:c>
      <x:c r="B19" s="4" t="inlineStr">
        <x:is>
          <x:t xml:space="preserve">China</x:t>
        </x:is>
      </x:c>
      <x:c r="C19" s="4" t="inlineStr">
        <x:is>
          <x:t xml:space="preserve">Industrial Software / ICT</x:t>
        </x:is>
      </x:c>
      <x:c r="D19" s="6" t="inlineStr">
        <x:is>
          <x:t xml:space="preserve">Unverifiable</x:t>
        </x:is>
      </x:c>
      <x:c r="E19" s="4" t="inlineStr">
        <x:is>
          <x:t xml:space="preserve">CQC / other claimed</x:t>
        </x:is>
      </x:c>
      <x:c r="F19" s="4" t="inlineStr">
        <x:is>
          <x:t xml:space="preserve">CNAS / applicable</x:t>
        </x:is>
      </x:c>
      <x:c r="G19" s="4" t="inlineStr">
        <x:is>
          <x:t xml:space="preserve">ISO 27001-related evidence may exist, but current certificate number, legal holder, scope and expiry were not sufficiently established.</x:t>
        </x:is>
      </x:c>
      <x:c r="H19" s="4" t="inlineStr">
        <x:is>
          <x:t xml:space="preserve">Unknown / Ring-fenced</x:t>
        </x:is>
      </x:c>
      <x:c r="I19" s="4" t="inlineStr">
        <x:is>
          <x:t xml:space="preserve">Current validity not established</x:t>
        </x:is>
      </x:c>
      <x:c r="J19" s="4" t="inlineStr">
        <x:is>
          <x:t xml:space="preserve">CNCA / CQC / Baosight search</x:t>
        </x:is>
      </x:c>
    </x:row>
    <x:row r="20">
      <x:c r="A20" s="4" t="inlineStr">
        <x:is>
          <x:t xml:space="preserve">Dawning Information Industry Co., Ltd. / Sugon (中科曙光, 603019)</x:t>
        </x:is>
      </x:c>
      <x:c r="B20" s="4" t="inlineStr">
        <x:is>
          <x:t xml:space="preserve">China</x:t>
        </x:is>
      </x:c>
      <x:c r="C20" s="4" t="inlineStr">
        <x:is>
          <x:t xml:space="preserve">High-performance Computing / ICT</x:t>
        </x:is>
      </x:c>
      <x:c r="D20" s="5" t="inlineStr">
        <x:is>
          <x:t xml:space="preserve">Certified (Publicly Disclosed; Scope Unverified)</x:t>
        </x:is>
      </x:c>
      <x:c r="E20" s="4" t="inlineStr">
        <x:is>
          <x:t xml:space="preserve">Not retained without certificate</x:t>
        </x:is>
      </x:c>
      <x:c r="F20" s="4" t="inlineStr">
        <x:is>
          <x:t xml:space="preserve">Applicable accreditation</x:t>
        </x:is>
      </x:c>
      <x:c r="G20" s="4" t="inlineStr">
        <x:is>
          <x:t xml:space="preserve">Sugon officially lists ISO 27001 information-security management system certification; the original detailed cloud/data-centre scope is not treated as certificate text.</x:t>
        </x:is>
      </x:c>
      <x:c r="H20" s="4" t="inlineStr">
        <x:is>
          <x:t xml:space="preserve">Ring-fenced / Scope Unverified</x:t>
        </x:is>
      </x:c>
      <x:c r="I20" s="4" t="inlineStr">
        <x:is>
          <x:t xml:space="preserve">Current certificate metadata not established</x:t>
        </x:is>
      </x:c>
      <x:c r="J20" s="4" t="inlineStr">
        <x:is>
          <x:t xml:space="preserve">Sugon official quality/certification page</x:t>
        </x:is>
      </x:c>
    </x:row>
    <x:row r="21">
      <x:c r="A21" s="4" t="inlineStr">
        <x:is>
          <x:t xml:space="preserve">Inspur Electronic Information Industry Co., Ltd. (浪潮信息, 000977)</x:t>
        </x:is>
      </x:c>
      <x:c r="B21" s="4" t="inlineStr">
        <x:is>
          <x:t xml:space="preserve">China</x:t>
        </x:is>
      </x:c>
      <x:c r="C21" s="4" t="inlineStr">
        <x:is>
          <x:t xml:space="preserve">ICT / Cloud / Enterprise Software</x:t>
        </x:is>
      </x:c>
      <x:c r="D21" s="6" t="inlineStr">
        <x:is>
          <x:t xml:space="preserve">Unverifiable</x:t>
        </x:is>
      </x:c>
      <x:c r="E21" s="4" t="inlineStr">
        <x:is>
          <x:t xml:space="preserve">Not sufficiently established</x:t>
        </x:is>
      </x:c>
      <x:c r="F21" s="4" t="inlineStr">
        <x:is>
          <x:t xml:space="preserve">Not sufficiently established</x:t>
        </x:is>
      </x:c>
      <x:c r="G21" s="4" t="inlineStr">
        <x:is>
          <x:t xml:space="preserve">Public security/compliance references do not establish the exact current ISO 27001 certificate holder, ID, expiry and claimed R&amp;D scope.</x:t>
        </x:is>
      </x:c>
      <x:c r="H21" s="4" t="inlineStr">
        <x:is>
          <x:t xml:space="preserve">Unknown</x:t>
        </x:is>
      </x:c>
      <x:c r="I21" s="4" t="inlineStr">
        <x:is>
          <x:t xml:space="preserve">Current validity not established</x:t>
        </x:is>
      </x:c>
      <x:c r="J21" s="4" t="inlineStr">
        <x:is>
          <x:t xml:space="preserve">Inspur official / CNCA / CB search</x:t>
        </x:is>
      </x:c>
    </x:row>
    <x:row r="22">
      <x:c r="A22" s="4" t="inlineStr">
        <x:is>
          <x:t xml:space="preserve">Senetas Corporation Limited (ASX: SEN)</x:t>
        </x:is>
      </x:c>
      <x:c r="B22" s="4" t="inlineStr">
        <x:is>
          <x:t xml:space="preserve">Australia</x:t>
        </x:is>
      </x:c>
      <x:c r="C22" s="4" t="inlineStr">
        <x:is>
          <x:t xml:space="preserve">Cybersecurity / Encryption</x:t>
        </x:is>
      </x:c>
      <x:c r="D22" s="6" t="inlineStr">
        <x:is>
          <x:t xml:space="preserve">Unverifiable</x:t>
        </x:is>
      </x:c>
      <x:c r="E22" s="4" t="inlineStr">
        <x:is>
          <x:t xml:space="preserve">BSI / SAI claimed</x:t>
        </x:is>
      </x:c>
      <x:c r="F22" s="4" t="inlineStr">
        <x:is>
          <x:t xml:space="preserve">Not established</x:t>
        </x:is>
      </x:c>
      <x:c r="G22" s="4" t="inlineStr">
        <x:is>
          <x:t xml:space="preserve">Official compliance material confirms other security certifications, but an ISO 27001 certificate matching the original claim was not established.</x:t>
        </x:is>
      </x:c>
      <x:c r="H22" s="4" t="inlineStr">
        <x:is>
          <x:t xml:space="preserve">Unknown</x:t>
        </x:is>
      </x:c>
      <x:c r="I22" s="4" t="inlineStr">
        <x:is>
          <x:t xml:space="preserve">Current validity not established</x:t>
        </x:is>
      </x:c>
      <x:c r="J22" s="4" t="inlineStr">
        <x:is>
          <x:t xml:space="preserve">Senetas official compliance page</x:t>
        </x:is>
      </x:c>
    </x:row>
    <x:row r="23">
      <x:c r="A23" s="4" t="inlineStr">
        <x:is>
          <x:t xml:space="preserve">Codan Limited (ASX: CDA)</x:t>
        </x:is>
      </x:c>
      <x:c r="B23" s="4" t="inlineStr">
        <x:is>
          <x:t xml:space="preserve">Australia</x:t>
        </x:is>
      </x:c>
      <x:c r="C23" s="4" t="inlineStr">
        <x:is>
          <x:t xml:space="preserve">Defence / Radio Communications</x:t>
        </x:is>
      </x:c>
      <x:c r="D23" s="5" t="inlineStr">
        <x:is>
          <x:t xml:space="preserve">Certified (Subsidiary Only)</x:t>
        </x:is>
      </x:c>
      <x:c r="E23" s="4" t="inlineStr">
        <x:is>
          <x:t xml:space="preserve">BSI</x:t>
        </x:is>
      </x:c>
      <x:c r="F23" s="4" t="inlineStr">
        <x:is>
          <x:t xml:space="preserve">Applicable accreditation</x:t>
        </x:is>
      </x:c>
      <x:c r="G23" s="4" t="inlineStr">
        <x:is>
          <x:t xml:space="preserve">Verified certificate is for Zetron Limited (BSI IS 808726), not Codan Limited parent.</x:t>
        </x:is>
      </x:c>
      <x:c r="H23" s="4" t="inlineStr">
        <x:is>
          <x:t xml:space="preserve">Subsidiary</x:t>
        </x:is>
      </x:c>
      <x:c r="I23" s="4" t="inlineStr">
        <x:is>
          <x:t xml:space="preserve">Current ISO/IEC 27001:2022 certificate publicly identified; parent status unverified</x:t>
        </x:is>
      </x:c>
      <x:c r="J23" s="4" t="inlineStr">
        <x:is>
          <x:t xml:space="preserve">Zetron / BSI certification evidence</x:t>
        </x:is>
      </x:c>
    </x:row>
    <x:row r="24">
      <x:c r="A24" s="4" t="inlineStr">
        <x:is>
          <x:t xml:space="preserve">AVA Risk Group Limited (ASX: AVA)</x:t>
        </x:is>
      </x:c>
      <x:c r="B24" s="4" t="inlineStr">
        <x:is>
          <x:t xml:space="preserve">Australia</x:t>
        </x:is>
      </x:c>
      <x:c r="C24" s="4" t="inlineStr">
        <x:is>
          <x:t xml:space="preserve">Security Technology</x:t>
        </x:is>
      </x:c>
      <x:c r="D24" s="6" t="inlineStr">
        <x:is>
          <x:t xml:space="preserve">Unverifiable</x:t>
        </x:is>
      </x:c>
      <x:c r="E24" s="4" t="inlineStr">
        <x:is>
          <x:t xml:space="preserve">Not established</x:t>
        </x:is>
      </x:c>
      <x:c r="F24" s="4" t="inlineStr">
        <x:is>
          <x:t xml:space="preserve">Not established</x:t>
        </x:is>
      </x:c>
      <x:c r="G24" s="4" t="inlineStr">
        <x:is>
          <x:t xml:space="preserve">No qualifying current parent-level certificate record was established.</x:t>
        </x:is>
      </x:c>
      <x:c r="H24" s="4" t="inlineStr">
        <x:is>
          <x:t xml:space="preserve">Unknown</x:t>
        </x:is>
      </x:c>
      <x:c r="I24" s="4" t="inlineStr">
        <x:is>
          <x:t xml:space="preserve">Current validity not established</x:t>
        </x:is>
      </x:c>
      <x:c r="J24" s="4" t="inlineStr">
        <x:is>
          <x:t xml:space="preserve">JAS-ANZ / CB / AVA search</x:t>
        </x:is>
      </x:c>
    </x:row>
    <x:row r="25">
      <x:c r="A25" s="4" t="inlineStr">
        <x:is>
          <x:t xml:space="preserve">DroneShield Limited (ASX: DRO)</x:t>
        </x:is>
      </x:c>
      <x:c r="B25" s="4" t="inlineStr">
        <x:is>
          <x:t xml:space="preserve">Australia</x:t>
        </x:is>
      </x:c>
      <x:c r="C25" s="4" t="inlineStr">
        <x:is>
          <x:t xml:space="preserve">Drone Security Technology</x:t>
        </x:is>
      </x:c>
      <x:c r="D25" s="5" t="inlineStr">
        <x:is>
          <x:t xml:space="preserve">Certified (Corporate Claim); Metadata Unverified</x:t>
        </x:is>
      </x:c>
      <x:c r="E25" s="4" t="inlineStr">
        <x:is>
          <x:t xml:space="preserve">Certification body not established</x:t>
        </x:is>
      </x:c>
      <x:c r="F25" s="4" t="inlineStr">
        <x:is>
          <x:t xml:space="preserve">Not established</x:t>
        </x:is>
      </x:c>
      <x:c r="G25" s="4" t="inlineStr">
        <x:is>
          <x:t xml:space="preserve">DroneShield officially states ISO 27001 certification, but the original CB, certificate ID, detailed scope and 2018 date are not retained without certificate evidence.</x:t>
        </x:is>
      </x:c>
      <x:c r="H25" s="4" t="inlineStr">
        <x:is>
          <x:t xml:space="preserve">Corporate / Defined Scope</x:t>
        </x:is>
      </x:c>
      <x:c r="I25" s="4" t="inlineStr">
        <x:is>
          <x:t xml:space="preserve">Current certification claim public; exact certificate validity not established</x:t>
        </x:is>
      </x:c>
      <x:c r="J25" s="4" t="inlineStr">
        <x:is>
          <x:t xml:space="preserve">DroneShield official Security &amp; Compliance page</x:t>
        </x:is>
      </x:c>
    </x:row>
    <x:row r="26">
      <x:c r="A26" s="4" t="inlineStr">
        <x:is>
          <x:t xml:space="preserve">Pointerra Limited (ASX: 3DP)</x:t>
        </x:is>
      </x:c>
      <x:c r="B26" s="4" t="inlineStr">
        <x:is>
          <x:t xml:space="preserve">Australia</x:t>
        </x:is>
      </x:c>
      <x:c r="C26" s="4" t="inlineStr">
        <x:is>
          <x:t xml:space="preserve">Geospatial / SaaS</x:t>
        </x:is>
      </x:c>
      <x:c r="D26" s="6" t="inlineStr">
        <x:is>
          <x:t xml:space="preserve">Unverifiable</x:t>
        </x:is>
      </x:c>
      <x:c r="E26" s="4" t="inlineStr">
        <x:is>
          <x:t xml:space="preserve">Not established</x:t>
        </x:is>
      </x:c>
      <x:c r="F26" s="4" t="inlineStr">
        <x:is>
          <x:t xml:space="preserve">Not established</x:t>
        </x:is>
      </x:c>
      <x:c r="G26" s="4" t="inlineStr">
        <x:is>
          <x:t xml:space="preserve">No qualifying current certificate record established for the listed parent.</x:t>
        </x:is>
      </x:c>
      <x:c r="H26" s="4" t="inlineStr">
        <x:is>
          <x:t xml:space="preserve">Unknown</x:t>
        </x:is>
      </x:c>
      <x:c r="I26" s="4" t="inlineStr">
        <x:is>
          <x:t xml:space="preserve">Current validity not established</x:t>
        </x:is>
      </x:c>
      <x:c r="J26" s="4" t="inlineStr">
        <x:is>
          <x:t xml:space="preserve">JAS-ANZ / CB / Pointerra search</x:t>
        </x:is>
      </x:c>
    </x:row>
    <x:row r="27">
      <x:c r="A27" s="4" t="inlineStr">
        <x:is>
          <x:t xml:space="preserve">Hangzhou Hikvision Digital Technology Co., Ltd. (海康威视, 002415)</x:t>
        </x:is>
      </x:c>
      <x:c r="B27" s="4" t="inlineStr">
        <x:is>
          <x:t xml:space="preserve">China</x:t>
        </x:is>
      </x:c>
      <x:c r="C27" s="4" t="inlineStr">
        <x:is>
          <x:t xml:space="preserve">Video Surveillance / AI</x:t>
        </x:is>
      </x:c>
      <x:c r="D27" s="6" t="inlineStr">
        <x:is>
          <x:t xml:space="preserve">Unverifiable</x:t>
        </x:is>
      </x:c>
      <x:c r="E27" s="4" t="inlineStr">
        <x:is>
          <x:t xml:space="preserve">DNV / BSI / CQC claimed</x:t>
        </x:is>
      </x:c>
      <x:c r="F27" s="4" t="inlineStr">
        <x:is>
          <x:t xml:space="preserve">Not sufficiently established</x:t>
        </x:is>
      </x:c>
      <x:c r="G27" s="4" t="inlineStr">
        <x:is>
          <x:t xml:space="preserve">ISO 27001 references exist, but the original parent/R&amp;D certificate metadata and current scope were not established at certificate level.</x:t>
        </x:is>
      </x:c>
      <x:c r="H27" s="4" t="inlineStr">
        <x:is>
          <x:t xml:space="preserve">Unknown / Ring-fenced</x:t>
        </x:is>
      </x:c>
      <x:c r="I27" s="4" t="inlineStr">
        <x:is>
          <x:t xml:space="preserve">Current validity not established</x:t>
        </x:is>
      </x:c>
      <x:c r="J27" s="4" t="inlineStr">
        <x:is>
          <x:t xml:space="preserve">Hikvision official / CB / CNCA search</x:t>
        </x:is>
      </x:c>
    </x:row>
    <x:row r="28">
      <x:c r="A28" s="4" t="inlineStr">
        <x:is>
          <x:t xml:space="preserve">Zhejiang Dahua Technology Co., Ltd. (大华股份, 002236)</x:t>
        </x:is>
      </x:c>
      <x:c r="B28" s="4" t="inlineStr">
        <x:is>
          <x:t xml:space="preserve">China</x:t>
        </x:is>
      </x:c>
      <x:c r="C28" s="4" t="inlineStr">
        <x:is>
          <x:t xml:space="preserve">Video Surveillance / AI</x:t>
        </x:is>
      </x:c>
      <x:c r="D28" s="5" t="inlineStr">
        <x:is>
          <x:t xml:space="preserve">Certified (Public Evidence; Exact Scope Unverified)</x:t>
        </x:is>
      </x:c>
      <x:c r="E28" s="4" t="inlineStr">
        <x:is>
          <x:t xml:space="preserve">Not retained without certificate</x:t>
        </x:is>
      </x:c>
      <x:c r="F28" s="4" t="inlineStr">
        <x:is>
          <x:t xml:space="preserve">Applicable accreditation</x:t>
        </x:is>
      </x:c>
      <x:c r="G28" s="4" t="inlineStr">
        <x:is>
          <x:t xml:space="preserve">Dahua publicly discloses ISO 27001-related information-security compliance; the original multi-facility R&amp;D scope is not treated as verified certificate wording.</x:t>
        </x:is>
      </x:c>
      <x:c r="H28" s="4" t="inlineStr">
        <x:is>
          <x:t xml:space="preserve">Ring-fenced / Scope Unverified</x:t>
        </x:is>
      </x:c>
      <x:c r="I28" s="4" t="inlineStr">
        <x:is>
          <x:t xml:space="preserve">Current certificate metadata not established</x:t>
        </x:is>
      </x:c>
      <x:c r="J28" s="4" t="inlineStr">
        <x:is>
          <x:t xml:space="preserve">Dahua official security/compliance disclosures</x:t>
        </x:is>
      </x:c>
    </x:row>
    <x:row r="29">
      <x:c r="A29" s="4" t="inlineStr">
        <x:is>
          <x:t xml:space="preserve">iFLYTEK Co., Ltd. (科大讯飞, 002230)</x:t>
        </x:is>
      </x:c>
      <x:c r="B29" s="4" t="inlineStr">
        <x:is>
          <x:t xml:space="preserve">China</x:t>
        </x:is>
      </x:c>
      <x:c r="C29" s="4" t="inlineStr">
        <x:is>
          <x:t xml:space="preserve">AI / Software</x:t>
        </x:is>
      </x:c>
      <x:c r="D29" s="6" t="inlineStr">
        <x:is>
          <x:t xml:space="preserve">Unverifiable</x:t>
        </x:is>
      </x:c>
      <x:c r="E29" s="4" t="inlineStr">
        <x:is>
          <x:t xml:space="preserve">CEPREI / CQC / BSI claimed</x:t>
        </x:is>
      </x:c>
      <x:c r="F29" s="4" t="inlineStr">
        <x:is>
          <x:t xml:space="preserve">Not sufficiently established</x:t>
        </x:is>
      </x:c>
      <x:c r="G29" s="4" t="inlineStr">
        <x:is>
          <x:t xml:space="preserve">Security certifications are referenced publicly, but current ISO 27001 certificate metadata for the listed parent was not established.</x:t>
        </x:is>
      </x:c>
      <x:c r="H29" s="4" t="inlineStr">
        <x:is>
          <x:t xml:space="preserve">Unknown</x:t>
        </x:is>
      </x:c>
      <x:c r="I29" s="4" t="inlineStr">
        <x:is>
          <x:t xml:space="preserve">Current validity not established</x:t>
        </x:is>
      </x:c>
      <x:c r="J29" s="4" t="inlineStr">
        <x:is>
          <x:t xml:space="preserve">CNCA / CQC / CEPREI / iFLYTEK search</x:t>
        </x:is>
      </x:c>
    </x:row>
    <x:row r="30">
      <x:c r="A30" s="4" t="inlineStr">
        <x:is>
          <x:t xml:space="preserve">Unisplendour Corporation Limited (紫光股份, 000938)</x:t>
        </x:is>
      </x:c>
      <x:c r="B30" s="4" t="inlineStr">
        <x:is>
          <x:t xml:space="preserve">China</x:t>
        </x:is>
      </x:c>
      <x:c r="C30" s="4" t="inlineStr">
        <x:is>
          <x:t xml:space="preserve">ICT / Cloud</x:t>
        </x:is>
      </x:c>
      <x:c r="D30" s="7" t="inlineStr">
        <x:is>
          <x:t xml:space="preserve">Major Discrepancy</x:t>
        </x:is>
      </x:c>
      <x:c r="E30" s="4" t="inlineStr">
        <x:is>
          <x:t xml:space="preserve">CQC / BSI / H3C-related evidence</x:t>
        </x:is>
      </x:c>
      <x:c r="F30" s="4" t="inlineStr">
        <x:is>
          <x:t xml:space="preserve">Applicable accreditation</x:t>
        </x:is>
      </x:c>
      <x:c r="G30" s="4" t="inlineStr">
        <x:is>
          <x:t xml:space="preserve">H3C-related certification evidence cannot be attributed automatically to Unisplendour Corporation Limited parent.</x:t>
        </x:is>
      </x:c>
      <x:c r="H30" s="4" t="inlineStr">
        <x:is>
          <x:t xml:space="preserve">Subsidiary / Related Entity</x:t>
        </x:is>
      </x:c>
      <x:c r="I30" s="4" t="inlineStr">
        <x:is>
          <x:t xml:space="preserve">Parent-level current validity not established</x:t>
        </x:is>
      </x:c>
      <x:c r="J30" s="4" t="inlineStr">
        <x:is>
          <x:t xml:space="preserve">H3C / Unisplendour corporate and CB evidence search</x:t>
        </x:is>
      </x:c>
    </x:row>
    <x:row r="31">
      <x:c r="A31" s="4" t="inlineStr">
        <x:is>
          <x:t xml:space="preserve">ZTE Corporation (中兴通讯, 000063)</x:t>
        </x:is>
      </x:c>
      <x:c r="B31" s="4" t="inlineStr">
        <x:is>
          <x:t xml:space="preserve">China</x:t>
        </x:is>
      </x:c>
      <x:c r="C31" s="4" t="inlineStr">
        <x:is>
          <x:t xml:space="preserve">Telecommunications / ICT</x:t>
        </x:is>
      </x:c>
      <x:c r="D31" s="6" t="inlineStr">
        <x:is>
          <x:t xml:space="preserve">Unverifiable</x:t>
        </x:is>
      </x:c>
      <x:c r="E31" s="4" t="inlineStr">
        <x:is>
          <x:t xml:space="preserve">BSI / SGS / CQC claimed</x:t>
        </x:is>
      </x:c>
      <x:c r="F31" s="4" t="inlineStr">
        <x:is>
          <x:t xml:space="preserve">Not sufficiently established</x:t>
        </x:is>
      </x:c>
      <x:c r="G31" s="4" t="inlineStr">
        <x:is>
          <x:t xml:space="preserve">ZTE has extensive security certifications, but the specific current ISO 27001 certificate claimed in the original row was not established.</x:t>
        </x:is>
      </x:c>
      <x:c r="H31" s="4" t="inlineStr">
        <x:is>
          <x:t xml:space="preserve">Unknown / Ring-fenced</x:t>
        </x:is>
      </x:c>
      <x:c r="I31" s="4" t="inlineStr">
        <x:is>
          <x:t xml:space="preserve">Current certificate metadata not established</x:t>
        </x:is>
      </x:c>
      <x:c r="J31" s="4" t="inlineStr">
        <x:is>
          <x:t xml:space="preserve">ZTE / BSI / CNCA search</x:t>
        </x:is>
      </x:c>
    </x:row>
    <x:row r="32">
      <x:c r="A32" s="4" t="inlineStr">
        <x:is>
          <x:t xml:space="preserve">Sovereign Cloud Holdings Limited / AUCloud (ASX: SOV)</x:t>
        </x:is>
      </x:c>
      <x:c r="B32" s="4" t="inlineStr">
        <x:is>
          <x:t xml:space="preserve">Australia</x:t>
        </x:is>
      </x:c>
      <x:c r="C32" s="4" t="inlineStr">
        <x:is>
          <x:t xml:space="preserve">Sovereign Cloud / Data Centres</x:t>
        </x:is>
      </x:c>
      <x:c r="D32" s="6" t="inlineStr">
        <x:is>
          <x:t xml:space="preserve">Unverifiable</x:t>
        </x:is>
      </x:c>
      <x:c r="E32" s="4" t="inlineStr">
        <x:is>
          <x:t xml:space="preserve">SAI Global / Compass claimed</x:t>
        </x:is>
      </x:c>
      <x:c r="F32" s="4" t="inlineStr">
        <x:is>
          <x:t xml:space="preserve">Not sufficiently established</x:t>
        </x:is>
      </x:c>
      <x:c r="G32" s="4" t="inlineStr">
        <x:is>
          <x:t xml:space="preserve">Fleet-wide ISO 27001 certification could not be tied to a current certificate number and exact legal entity/scope under the strict evidence rule.</x:t>
        </x:is>
      </x:c>
      <x:c r="H32" s="4" t="inlineStr">
        <x:is>
          <x:t xml:space="preserve">Unknown / Service Scope</x:t>
        </x:is>
      </x:c>
      <x:c r="I32" s="4" t="inlineStr">
        <x:is>
          <x:t xml:space="preserve">Current validity not established</x:t>
        </x:is>
      </x:c>
      <x:c r="J32" s="4" t="inlineStr">
        <x:is>
          <x:t xml:space="preserve">JAS-ANZ / CB / AUCloud search</x:t>
        </x:is>
      </x:c>
    </x:row>
    <x:row r="33">
      <x:c r="A33" s="4" t="inlineStr">
        <x:is>
          <x:t xml:space="preserve">archTIS Limited (ASX: ATC)</x:t>
        </x:is>
      </x:c>
      <x:c r="B33" s="4" t="inlineStr">
        <x:is>
          <x:t xml:space="preserve">Australia</x:t>
        </x:is>
      </x:c>
      <x:c r="C33" s="4" t="inlineStr">
        <x:is>
          <x:t xml:space="preserve">Information Governance / SaaS</x:t>
        </x:is>
      </x:c>
      <x:c r="D33" s="6" t="inlineStr">
        <x:is>
          <x:t xml:space="preserve">Unverifiable</x:t>
        </x:is>
      </x:c>
      <x:c r="E33" s="4" t="inlineStr">
        <x:is>
          <x:t xml:space="preserve">Compass claimed</x:t>
        </x:is>
      </x:c>
      <x:c r="F33" s="4" t="inlineStr">
        <x:is>
          <x:t xml:space="preserve">Not sufficiently established</x:t>
        </x:is>
      </x:c>
      <x:c r="G33" s="4" t="inlineStr">
        <x:is>
          <x:t xml:space="preserve">Original Compass/JAS-ANZ certification claim was not sufficiently supported by current certificate-level evidence.</x:t>
        </x:is>
      </x:c>
      <x:c r="H33" s="4" t="inlineStr">
        <x:is>
          <x:t xml:space="preserve">Unknown</x:t>
        </x:is>
      </x:c>
      <x:c r="I33" s="4" t="inlineStr">
        <x:is>
          <x:t xml:space="preserve">Current validity not established</x:t>
        </x:is>
      </x:c>
      <x:c r="J33" s="4" t="inlineStr">
        <x:is>
          <x:t xml:space="preserve">JAS-ANZ / Compass / archTIS search</x:t>
        </x:is>
      </x:c>
    </x:row>
    <x:row r="34">
      <x:c r="A34" s="4" t="inlineStr">
        <x:is>
          <x:t xml:space="preserve">FirstWave Cloud Technology Limited (ASX: FCT)</x:t>
        </x:is>
      </x:c>
      <x:c r="B34" s="4" t="inlineStr">
        <x:is>
          <x:t xml:space="preserve">Australia</x:t>
        </x:is>
      </x:c>
      <x:c r="C34" s="4" t="inlineStr">
        <x:is>
          <x:t xml:space="preserve">Cloud Technology</x:t>
        </x:is>
      </x:c>
      <x:c r="D34" s="6" t="inlineStr">
        <x:is>
          <x:t xml:space="preserve">Unverifiable</x:t>
        </x:is>
      </x:c>
      <x:c r="E34" s="4" t="inlineStr">
        <x:is>
          <x:t xml:space="preserve">BSI / SAI claimed</x:t>
        </x:is>
      </x:c>
      <x:c r="F34" s="4" t="inlineStr">
        <x:is>
          <x:t xml:space="preserve">Not sufficiently established</x:t>
        </x:is>
      </x:c>
      <x:c r="G34" s="4" t="inlineStr">
        <x:is>
          <x:t xml:space="preserve">No qualifying current certificate metadata established for the listed parent.</x:t>
        </x:is>
      </x:c>
      <x:c r="H34" s="4" t="inlineStr">
        <x:is>
          <x:t xml:space="preserve">Unknown</x:t>
        </x:is>
      </x:c>
      <x:c r="I34" s="4" t="inlineStr">
        <x:is>
          <x:t xml:space="preserve">Current validity not established</x:t>
        </x:is>
      </x:c>
      <x:c r="J34" s="4" t="inlineStr">
        <x:is>
          <x:t xml:space="preserve">BSI / SAI / JAS-ANZ search</x:t>
        </x:is>
      </x:c>
    </x:row>
    <x:row r="35">
      <x:c r="A35" s="4" t="inlineStr">
        <x:is>
          <x:t xml:space="preserve">Prophecy International Holdings Limited (ASX: PRO)</x:t>
        </x:is>
      </x:c>
      <x:c r="B35" s="4" t="inlineStr">
        <x:is>
          <x:t xml:space="preserve">Australia</x:t>
        </x:is>
      </x:c>
      <x:c r="C35" s="4" t="inlineStr">
        <x:is>
          <x:t xml:space="preserve">Cybersecurity Software / SaaS</x:t>
        </x:is>
      </x:c>
      <x:c r="D35" s="6" t="inlineStr">
        <x:is>
          <x:t xml:space="preserve">Unverifiable</x:t>
        </x:is>
      </x:c>
      <x:c r="E35" s="4" t="inlineStr">
        <x:is>
          <x:t xml:space="preserve">BSI / SAI claimed</x:t>
        </x:is>
      </x:c>
      <x:c r="F35" s="4" t="inlineStr">
        <x:is>
          <x:t xml:space="preserve">Not sufficiently established</x:t>
        </x:is>
      </x:c>
      <x:c r="G35" s="4" t="inlineStr">
        <x:is>
          <x:t xml:space="preserve">Product/security documentation does not establish the original parent-level certification, certificate ID and current validity.</x:t>
        </x:is>
      </x:c>
      <x:c r="H35" s="4" t="inlineStr">
        <x:is>
          <x:t xml:space="preserve">Unknown / Product Scope</x:t>
        </x:is>
      </x:c>
      <x:c r="I35" s="4" t="inlineStr">
        <x:is>
          <x:t xml:space="preserve">Current validity not established</x:t>
        </x:is>
      </x:c>
      <x:c r="J35" s="4" t="inlineStr">
        <x:is>
          <x:t xml:space="preserve">Prophecy/Snare compliance and CB search</x:t>
        </x:is>
      </x:c>
    </x:row>
    <x:row r="36">
      <x:c r="A36" s="4" t="inlineStr">
        <x:is>
          <x:t xml:space="preserve">Tesserent Limited (Thales Australia / former ASX: TNT)</x:t>
        </x:is>
      </x:c>
      <x:c r="B36" s="4" t="inlineStr">
        <x:is>
          <x:t xml:space="preserve">Australia</x:t>
        </x:is>
      </x:c>
      <x:c r="C36" s="4" t="inlineStr">
        <x:is>
          <x:t xml:space="preserve">Managed Security Services</x:t>
        </x:is>
      </x:c>
      <x:c r="D36" s="6" t="inlineStr">
        <x:is>
          <x:t xml:space="preserve">Unverifiable (Historical Entity Issue)</x:t>
        </x:is>
      </x:c>
      <x:c r="E36" s="4" t="inlineStr">
        <x:is>
          <x:t xml:space="preserve">BSI / Compass claimed</x:t>
        </x:is>
      </x:c>
      <x:c r="F36" s="4" t="inlineStr">
        <x:is>
          <x:t xml:space="preserve">Not sufficiently established</x:t>
        </x:is>
      </x:c>
      <x:c r="G36" s="4" t="inlineStr">
        <x:is>
          <x:t xml:space="preserve">Ownership/consolidation and the former ASX entity make parent-level attribution problematic; current Thales/Tesserent service certifications cannot be inherited by the former listed entity.</x:t>
        </x:is>
      </x:c>
      <x:c r="H36" s="4" t="inlineStr">
        <x:is>
          <x:t xml:space="preserve">Subsidiary / Service</x:t>
        </x:is>
      </x:c>
      <x:c r="I36" s="4" t="inlineStr">
        <x:is>
          <x:t xml:space="preserve">Current parent-level validity not established</x:t>
        </x:is>
      </x:c>
      <x:c r="J36" s="4" t="inlineStr">
        <x:is>
          <x:t xml:space="preserve">Thales/Tesserent security disclosures / CB search</x:t>
        </x:is>
      </x:c>
    </x:row>
    <x:row r="37">
      <x:c r="A37" s="4" t="inlineStr">
        <x:is>
          <x:t xml:space="preserve">Qi-Anxin Technology Group Inc. (奇安信, 688561)</x:t>
        </x:is>
      </x:c>
      <x:c r="B37" s="4" t="inlineStr">
        <x:is>
          <x:t xml:space="preserve">China</x:t>
        </x:is>
      </x:c>
      <x:c r="C37" s="4" t="inlineStr">
        <x:is>
          <x:t xml:space="preserve">Cybersecurity / ICT</x:t>
        </x:is>
      </x:c>
      <x:c r="D37" s="6" t="inlineStr">
        <x:is>
          <x:t xml:space="preserve">Unverifiable</x:t>
        </x:is>
      </x:c>
      <x:c r="E37" s="4" t="inlineStr">
        <x:is>
          <x:t xml:space="preserve">CQC / CEPREI / BSI claimed</x:t>
        </x:is>
      </x:c>
      <x:c r="F37" s="4" t="inlineStr">
        <x:is>
          <x:t xml:space="preserve">Not sufficiently established</x:t>
        </x:is>
      </x:c>
      <x:c r="G37" s="4" t="inlineStr">
        <x:is>
          <x:t xml:space="preserve">Public security certification references exist, but current parent-level certificate ID, CB and exact scope were not established.</x:t>
        </x:is>
      </x:c>
      <x:c r="H37" s="4" t="inlineStr">
        <x:is>
          <x:t xml:space="preserve">Unknown / Ring-fenced</x:t>
        </x:is>
      </x:c>
      <x:c r="I37" s="4" t="inlineStr">
        <x:is>
          <x:t xml:space="preserve">Current validity not established</x:t>
        </x:is>
      </x:c>
      <x:c r="J37" s="4" t="inlineStr">
        <x:is>
          <x:t xml:space="preserve">CNCA / CQC / CEPREI search</x:t>
        </x:is>
      </x:c>
    </x:row>
    <x:row r="38">
      <x:c r="A38" s="4" t="inlineStr">
        <x:is>
          <x:t xml:space="preserve">Venustech Group Inc. (启明星辰, 002439)</x:t>
        </x:is>
      </x:c>
      <x:c r="B38" s="4" t="inlineStr">
        <x:is>
          <x:t xml:space="preserve">China</x:t>
        </x:is>
      </x:c>
      <x:c r="C38" s="4" t="inlineStr">
        <x:is>
          <x:t xml:space="preserve">Cybersecurity</x:t>
        </x:is>
      </x:c>
      <x:c r="D38" s="8" t="inlineStr">
        <x:is>
          <x:t xml:space="preserve">Minor Discrepancy</x:t>
        </x:is>
      </x:c>
      <x:c r="E38" s="4" t="inlineStr">
        <x:is>
          <x:t xml:space="preserve">CQC / CEPREI claimed</x:t>
        </x:is>
      </x:c>
      <x:c r="F38" s="4" t="inlineStr">
        <x:is>
          <x:t xml:space="preserve">CCRC / applicable accreditation</x:t>
        </x:is>
      </x:c>
      <x:c r="G38" s="4" t="inlineStr">
        <x:is>
          <x:t xml:space="preserve">Official qualification information identifies an information-security management system certificate through the China Cybersecurity Review Technology and Certification Center (CCRC); original CB description should be corrected.</x:t>
        </x:is>
      </x:c>
      <x:c r="H38" s="4" t="inlineStr">
        <x:is>
          <x:t xml:space="preserve">Ring-fenced / Information Security Management</x:t>
        </x:is>
      </x:c>
      <x:c r="I38" s="4" t="inlineStr">
        <x:is>
          <x:t xml:space="preserve">Current certificate metadata not fully established</x:t>
        </x:is>
      </x:c>
      <x:c r="J38" s="4" t="inlineStr">
        <x:is>
          <x:t xml:space="preserve">Venustech official qualification page</x:t>
        </x:is>
      </x:c>
    </x:row>
    <x:row r="39">
      <x:c r="A39" s="4" t="inlineStr">
        <x:is>
          <x:t xml:space="preserve">Sangfor Technologies Inc. (深信服, 300454)</x:t>
        </x:is>
      </x:c>
      <x:c r="B39" s="4" t="inlineStr">
        <x:is>
          <x:t xml:space="preserve">China</x:t>
        </x:is>
      </x:c>
      <x:c r="C39" s="4" t="inlineStr">
        <x:is>
          <x:t xml:space="preserve">Cybersecurity / Cloud</x:t>
        </x:is>
      </x:c>
      <x:c r="D39" s="5" t="inlineStr">
        <x:is>
          <x:t xml:space="preserve">Certified (Defined Scope; Exact Scope Unverified)</x:t>
        </x:is>
      </x:c>
      <x:c r="E39" s="4" t="inlineStr">
        <x:is>
          <x:t xml:space="preserve">Not retained without certificate</x:t>
        </x:is>
      </x:c>
      <x:c r="F39" s="4" t="inlineStr">
        <x:is>
          <x:t xml:space="preserve">Applicable accreditation</x:t>
        </x:is>
      </x:c>
      <x:c r="G39" s="4" t="inlineStr">
        <x:is>
          <x:t xml:space="preserve">Sangfor officially confirms ISO 27001 certification; the original broad cybersecurity/cloud/SASE fleet-wide scope is not treated as certificate wording.</x:t>
        </x:is>
      </x:c>
      <x:c r="H39" s="4" t="inlineStr">
        <x:is>
          <x:t xml:space="preserve">Ring-fenced / Defined Services</x:t>
        </x:is>
      </x:c>
      <x:c r="I39" s="4" t="inlineStr">
        <x:is>
          <x:t xml:space="preserve">Current certificate metadata not fully established</x:t>
        </x:is>
      </x:c>
      <x:c r="J39" s="4" t="inlineStr">
        <x:is>
          <x:t xml:space="preserve">Sangfor official Trust/Compliance disclosures</x:t>
        </x:is>
      </x:c>
    </x:row>
    <x:row r="40">
      <x:c r="A40" s="4" t="inlineStr">
        <x:is>
          <x:t xml:space="preserve">Topsec Technologies Group Inc. (天融信, 002212)</x:t>
        </x:is>
      </x:c>
      <x:c r="B40" s="4" t="inlineStr">
        <x:is>
          <x:t xml:space="preserve">China</x:t>
        </x:is>
      </x:c>
      <x:c r="C40" s="4" t="inlineStr">
        <x:is>
          <x:t xml:space="preserve">Cybersecurity / MSS</x:t>
        </x:is>
      </x:c>
      <x:c r="D40" s="6" t="inlineStr">
        <x:is>
          <x:t xml:space="preserve">Unverifiable</x:t>
        </x:is>
      </x:c>
      <x:c r="E40" s="4" t="inlineStr">
        <x:is>
          <x:t xml:space="preserve">CQC / CEPREI claimed</x:t>
        </x:is>
      </x:c>
      <x:c r="F40" s="4" t="inlineStr">
        <x:is>
          <x:t xml:space="preserve">Not sufficiently established</x:t>
        </x:is>
      </x:c>
      <x:c r="G40" s="4" t="inlineStr">
        <x:is>
          <x:t xml:space="preserve">No qualifying current certificate number, validity and scope were established for the listed parent.</x:t>
        </x:is>
      </x:c>
      <x:c r="H40" s="4" t="inlineStr">
        <x:is>
          <x:t xml:space="preserve">Unknown</x:t>
        </x:is>
      </x:c>
      <x:c r="I40" s="4" t="inlineStr">
        <x:is>
          <x:t xml:space="preserve">Current validity not established</x:t>
        </x:is>
      </x:c>
      <x:c r="J40" s="4" t="inlineStr">
        <x:is>
          <x:t xml:space="preserve">CNCA / CQC / CEPREI search</x:t>
        </x:is>
      </x:c>
    </x:row>
    <x:row r="41">
      <x:c r="A41" s="4" t="inlineStr">
        <x:is>
          <x:t xml:space="preserve">NSFOCUS Technologies Group Co., Ltd. (绿盟科技, 300369)</x:t>
        </x:is>
      </x:c>
      <x:c r="B41" s="4" t="inlineStr">
        <x:is>
          <x:t xml:space="preserve">China</x:t>
        </x:is>
      </x:c>
      <x:c r="C41" s="4" t="inlineStr">
        <x:is>
          <x:t xml:space="preserve">Cybersecurity / MSS</x:t>
        </x:is>
      </x:c>
      <x:c r="D41" s="6" t="inlineStr">
        <x:is>
          <x:t xml:space="preserve">Unverifiable</x:t>
        </x:is>
      </x:c>
      <x:c r="E41" s="4" t="inlineStr">
        <x:is>
          <x:t xml:space="preserve">Not sufficiently established</x:t>
        </x:is>
      </x:c>
      <x:c r="F41" s="4" t="inlineStr">
        <x:is>
          <x:t xml:space="preserve">Not sufficiently established</x:t>
        </x:is>
      </x:c>
      <x:c r="G41" s="4" t="inlineStr">
        <x:is>
          <x:t xml:space="preserve">ISO/security certification evidence exists, but the original global R&amp;D/threat-intelligence/cloud-MSS comprehensive scope was not established by certificate-level evidence.</x:t>
        </x:is>
      </x:c>
      <x:c r="H41" s="4" t="inlineStr">
        <x:is>
          <x:t xml:space="preserve">Unknown / Ring-fenced</x:t>
        </x:is>
      </x:c>
      <x:c r="I41" s="4" t="inlineStr">
        <x:is>
          <x:t xml:space="preserve">Current validity not established</x:t>
        </x:is>
      </x:c>
      <x:c r="J41" s="4" t="inlineStr">
        <x:is>
          <x:t xml:space="preserve">NSFOCUS official / CB search</x:t>
        </x:is>
      </x:c>
    </x:row>
    <x:row r="42">
      <x:c r="A42" s="4" t="inlineStr">
        <x:is>
          <x:t xml:space="preserve">WiseTech Global Limited (ASX: WTC)</x:t>
        </x:is>
      </x:c>
      <x:c r="B42" s="4" t="inlineStr">
        <x:is>
          <x:t xml:space="preserve">Australia</x:t>
        </x:is>
      </x:c>
      <x:c r="C42" s="4" t="inlineStr">
        <x:is>
          <x:t xml:space="preserve">Logistics Software / SaaS</x:t>
        </x:is>
      </x:c>
      <x:c r="D42" s="5" t="inlineStr">
        <x:is>
          <x:t xml:space="preserve">Certified (Defined Scope)</x:t>
        </x:is>
      </x:c>
      <x:c r="E42" s="4" t="inlineStr">
        <x:is>
          <x:t xml:space="preserve">Certification body not retained without current certificate</x:t>
        </x:is>
      </x:c>
      <x:c r="F42" s="4" t="inlineStr">
        <x:is>
          <x:t xml:space="preserve">Applicable accreditation</x:t>
        </x:is>
      </x:c>
      <x:c r="G42" s="4" t="inlineStr">
        <x:is>
          <x:t xml:space="preserve">WiseTech officially confirms maintained ISO 27001 certification; the defensible interpretation is CargoWise/global logistics platform and associated operations, not every WiseTech activity automatically.</x:t>
        </x:is>
      </x:c>
      <x:c r="H42" s="4" t="inlineStr">
        <x:is>
          <x:t xml:space="preserve">Ring-fenced / Core Product Scope</x:t>
        </x:is>
      </x:c>
      <x:c r="I42" s="4" t="inlineStr">
        <x:is>
          <x:t xml:space="preserve">Current certification disclosed; original 2019 date and certificate metadata require certificate-level confirmation</x:t>
        </x:is>
      </x:c>
      <x:c r="J42" s="4" t="inlineStr">
        <x:is>
          <x:t xml:space="preserve">WiseTech Global Annual Report 2023</x:t>
        </x:is>
      </x:c>
    </x:row>
    <x:row r="43">
      <x:c r="A43" s="4" t="inlineStr">
        <x:is>
          <x:t xml:space="preserve">Brambles Limited (ASX: BXB)</x:t>
        </x:is>
      </x:c>
      <x:c r="B43" s="4" t="inlineStr">
        <x:is>
          <x:t xml:space="preserve">Australia</x:t>
        </x:is>
      </x:c>
      <x:c r="C43" s="4" t="inlineStr">
        <x:is>
          <x:t xml:space="preserve">Supply Chain / Logistics</x:t>
        </x:is>
      </x:c>
      <x:c r="D43" s="6" t="inlineStr">
        <x:is>
          <x:t xml:space="preserve">Unverifiable</x:t>
        </x:is>
      </x:c>
      <x:c r="E43" s="4" t="inlineStr">
        <x:is>
          <x:t xml:space="preserve">No parent-level certificate established</x:t>
        </x:is>
      </x:c>
      <x:c r="F43" s="4" t="inlineStr">
        <x:is>
          <x:t xml:space="preserve">Not established</x:t>
        </x:is>
      </x:c>
      <x:c r="G43" s="4" t="inlineStr">
        <x:is>
          <x:t xml:space="preserve">No qualifying public parent-level ISO 27001 certificate established; do not code as 'No certification exists'.</x:t>
        </x:is>
      </x:c>
      <x:c r="H43" s="4" t="inlineStr">
        <x:is>
          <x:t xml:space="preserve">Unknown</x:t>
        </x:is>
      </x:c>
      <x:c r="I43" s="4" t="inlineStr">
        <x:is>
          <x:t xml:space="preserve">Current validity not established</x:t>
        </x:is>
      </x:c>
      <x:c r="J43" s="4" t="inlineStr">
        <x:is>
          <x:t xml:space="preserve">JAS-ANZ / Brambles corporate disclosures search</x:t>
        </x:is>
      </x:c>
    </x:row>
    <x:row r="44">
      <x:c r="A44" s="4" t="inlineStr">
        <x:is>
          <x:t xml:space="preserve">APA Group (ASX: APA)</x:t>
        </x:is>
      </x:c>
      <x:c r="B44" s="4" t="inlineStr">
        <x:is>
          <x:t xml:space="preserve">Australia</x:t>
        </x:is>
      </x:c>
      <x:c r="C44" s="4" t="inlineStr">
        <x:is>
          <x:t xml:space="preserve">Energy Infrastructure</x:t>
        </x:is>
      </x:c>
      <x:c r="D44" s="6" t="inlineStr">
        <x:is>
          <x:t xml:space="preserve">Unverifiable</x:t>
        </x:is>
      </x:c>
      <x:c r="E44" s="4" t="inlineStr">
        <x:is>
          <x:t xml:space="preserve">No parent-level certificate established</x:t>
        </x:is>
      </x:c>
      <x:c r="F44" s="4" t="inlineStr">
        <x:is>
          <x:t xml:space="preserve">Not established</x:t>
        </x:is>
      </x:c>
      <x:c r="G44" s="4" t="inlineStr">
        <x:is>
          <x:t xml:space="preserve">SOCI/AESCSF and other security compliance should not be treated as ISO 27001 certification.</x:t>
        </x:is>
      </x:c>
      <x:c r="H44" s="4" t="inlineStr">
        <x:is>
          <x:t xml:space="preserve">Unknown</x:t>
        </x:is>
      </x:c>
      <x:c r="I44" s="4" t="inlineStr">
        <x:is>
          <x:t xml:space="preserve">Current validity not established</x:t>
        </x:is>
      </x:c>
      <x:c r="J44" s="4" t="inlineStr">
        <x:is>
          <x:t xml:space="preserve">JAS-ANZ / APA corporate disclosures search</x:t>
        </x:is>
      </x:c>
    </x:row>
    <x:row r="45">
      <x:c r="A45" s="4" t="inlineStr">
        <x:is>
          <x:t xml:space="preserve">Origin Energy Limited (ASX: ORG)</x:t>
        </x:is>
      </x:c>
      <x:c r="B45" s="4" t="inlineStr">
        <x:is>
          <x:t xml:space="preserve">Australia</x:t>
        </x:is>
      </x:c>
      <x:c r="C45" s="4" t="inlineStr">
        <x:is>
          <x:t xml:space="preserve">Energy / Utilities</x:t>
        </x:is>
      </x:c>
      <x:c r="D45" s="6" t="inlineStr">
        <x:is>
          <x:t xml:space="preserve">Unverifiable</x:t>
        </x:is>
      </x:c>
      <x:c r="E45" s="4" t="inlineStr">
        <x:is>
          <x:t xml:space="preserve">No parent-level certificate established</x:t>
        </x:is>
      </x:c>
      <x:c r="F45" s="4" t="inlineStr">
        <x:is>
          <x:t xml:space="preserve">Not established</x:t>
        </x:is>
      </x:c>
      <x:c r="G45" s="4" t="inlineStr">
        <x:is>
          <x:t xml:space="preserve">No qualifying parent-level ISO 27001 certificate established.</x:t>
        </x:is>
      </x:c>
      <x:c r="H45" s="4" t="inlineStr">
        <x:is>
          <x:t xml:space="preserve">Unknown</x:t>
        </x:is>
      </x:c>
      <x:c r="I45" s="4" t="inlineStr">
        <x:is>
          <x:t xml:space="preserve">Current validity not established</x:t>
        </x:is>
      </x:c>
      <x:c r="J45" s="4" t="inlineStr">
        <x:is>
          <x:t xml:space="preserve">JAS-ANZ / Origin corporate disclosures search</x:t>
        </x:is>
      </x:c>
    </x:row>
    <x:row r="46">
      <x:c r="A46" s="4" t="inlineStr">
        <x:is>
          <x:t xml:space="preserve">Qantas Airways Limited (ASX: QAN)</x:t>
        </x:is>
      </x:c>
      <x:c r="B46" s="4" t="inlineStr">
        <x:is>
          <x:t xml:space="preserve">Australia</x:t>
        </x:is>
      </x:c>
      <x:c r="C46" s="4" t="inlineStr">
        <x:is>
          <x:t xml:space="preserve">Airline / Aviation</x:t>
        </x:is>
      </x:c>
      <x:c r="D46" s="6" t="inlineStr">
        <x:is>
          <x:t xml:space="preserve">Unverifiable (Group Level)</x:t>
        </x:is>
      </x:c>
      <x:c r="E46" s="4" t="inlineStr">
        <x:is>
          <x:t xml:space="preserve">No group certificate established</x:t>
        </x:is>
      </x:c>
      <x:c r="F46" s="4" t="inlineStr">
        <x:is>
          <x:t xml:space="preserve">Not established</x:t>
        </x:is>
      </x:c>
      <x:c r="G46" s="4" t="inlineStr">
        <x:is>
          <x:t xml:space="preserve">No group-wide Qantas Airways ISO 27001 certificate established; supplier/component certifications cannot be inherited by the group.</x:t>
        </x:is>
      </x:c>
      <x:c r="H46" s="4" t="inlineStr">
        <x:is>
          <x:t xml:space="preserve">Unknown / Component Scope</x:t>
        </x:is>
      </x:c>
      <x:c r="I46" s="4" t="inlineStr">
        <x:is>
          <x:t xml:space="preserve">Current group-level validity not established</x:t>
        </x:is>
      </x:c>
      <x:c r="J46" s="4" t="inlineStr">
        <x:is>
          <x:t xml:space="preserve">Qantas governance/security disclosures / CB search</x:t>
        </x:is>
      </x:c>
    </x:row>
    <x:row r="47">
      <x:c r="A47" s="4" t="inlineStr">
        <x:is>
          <x:t xml:space="preserve">SF Holding Co., Ltd. (顺丰控股, 002352)</x:t>
        </x:is>
      </x:c>
      <x:c r="B47" s="4" t="inlineStr">
        <x:is>
          <x:t xml:space="preserve">China</x:t>
        </x:is>
      </x:c>
      <x:c r="C47" s="4" t="inlineStr">
        <x:is>
          <x:t xml:space="preserve">Logistics / Supply Chain</x:t>
        </x:is>
      </x:c>
      <x:c r="D47" s="5" t="inlineStr">
        <x:is>
          <x:t xml:space="preserve">Certified (Corporate Disclosure); Scope Unverified</x:t>
        </x:is>
      </x:c>
      <x:c r="E47" s="4" t="inlineStr">
        <x:is>
          <x:t xml:space="preserve">Various / subsidiary evidence</x:t>
        </x:is>
      </x:c>
      <x:c r="F47" s="4" t="inlineStr">
        <x:is>
          <x:t xml:space="preserve">Applicable accreditation</x:t>
        </x:is>
      </x:c>
      <x:c r="G47" s="4" t="inlineStr">
        <x:is>
          <x:t xml:space="preserve">SF official materials state information-security management has passed ISO 27001 certification; exact current certificate holder/scope must be checked before coding the listed parent as comprehensive.</x:t>
        </x:is>
      </x:c>
      <x:c r="H47" s="4" t="inlineStr">
        <x:is>
          <x:t xml:space="preserve">Ring-fenced / Scope Unverified</x:t>
        </x:is>
      </x:c>
      <x:c r="I47" s="4" t="inlineStr">
        <x:is>
          <x:t xml:space="preserve">Current certification publicly disclosed; exact certificate dates not established</x:t>
        </x:is>
      </x:c>
      <x:c r="J47" s="4" t="inlineStr">
        <x:is>
          <x:t xml:space="preserve">SF official corporate information</x:t>
        </x:is>
      </x:c>
    </x:row>
    <x:row r="48">
      <x:c r="A48" s="4" t="inlineStr">
        <x:is>
          <x:t xml:space="preserve">NARI Technology Co., Ltd. (国电南瑞, 600406)</x:t>
        </x:is>
      </x:c>
      <x:c r="B48" s="4" t="inlineStr">
        <x:is>
          <x:t xml:space="preserve">China</x:t>
        </x:is>
      </x:c>
      <x:c r="C48" s="4" t="inlineStr">
        <x:is>
          <x:t xml:space="preserve">Industrial Software / Grid Technology</x:t>
        </x:is>
      </x:c>
      <x:c r="D48" s="6" t="inlineStr">
        <x:is>
          <x:t xml:space="preserve">Unverifiable</x:t>
        </x:is>
      </x:c>
      <x:c r="E48" s="4" t="inlineStr">
        <x:is>
          <x:t xml:space="preserve">CQC / CEPREI claimed</x:t>
        </x:is>
      </x:c>
      <x:c r="F48" s="4" t="inlineStr">
        <x:is>
          <x:t xml:space="preserve">Not sufficiently established</x:t>
        </x:is>
      </x:c>
      <x:c r="G48" s="4" t="inlineStr">
        <x:is>
          <x:t xml:space="preserve">Original industrial-software/R&amp;D scope and current certificate metadata were not sufficiently established for the listed parent.</x:t>
        </x:is>
      </x:c>
      <x:c r="H48" s="4" t="inlineStr">
        <x:is>
          <x:t xml:space="preserve">Unknown / Ring-fenced</x:t>
        </x:is>
      </x:c>
      <x:c r="I48" s="4" t="inlineStr">
        <x:is>
          <x:t xml:space="preserve">Current validity not established</x:t>
        </x:is>
      </x:c>
      <x:c r="J48" s="4" t="inlineStr">
        <x:is>
          <x:t xml:space="preserve">CNCA / CQC / CEPREI / NARI search</x:t>
        </x:is>
      </x:c>
    </x:row>
    <x:row r="49">
      <x:c r="A49" s="4" t="inlineStr">
        <x:is>
          <x:t xml:space="preserve">COSCO SHIPPING Holdings Co., Ltd. (中远海控, 601919)</x:t>
        </x:is>
      </x:c>
      <x:c r="B49" s="4" t="inlineStr">
        <x:is>
          <x:t xml:space="preserve">China</x:t>
        </x:is>
      </x:c>
      <x:c r="C49" s="4" t="inlineStr">
        <x:is>
          <x:t xml:space="preserve">Shipping / Ports / Logistics</x:t>
        </x:is>
      </x:c>
      <x:c r="D49" s="5" t="inlineStr">
        <x:is>
          <x:t xml:space="preserve">Certified (Subsidiary/Business Scope); Parent Unverifiable</x:t>
        </x:is>
      </x:c>
      <x:c r="E49" s="4" t="inlineStr">
        <x:is>
          <x:t xml:space="preserve">Subsidiary/service certifications</x:t>
        </x:is>
      </x:c>
      <x:c r="F49" s="4" t="inlineStr">
        <x:is>
          <x:t xml:space="preserve">Applicable accreditation</x:t>
        </x:is>
      </x:c>
      <x:c r="G49" s="4" t="inlineStr">
        <x:is>
          <x:t xml:space="preserve">ISO 27001 evidence exists for specific COSCO SHIPPING entities/businesses, but it cannot be promoted to COSCO SHIPPING Holdings parent.</x:t>
        </x:is>
      </x:c>
      <x:c r="H49" s="4" t="inlineStr">
        <x:is>
          <x:t xml:space="preserve">Subsidiary / Business Unit</x:t>
        </x:is>
      </x:c>
      <x:c r="I49" s="4" t="inlineStr">
        <x:is>
          <x:t xml:space="preserve">Parent-level current validity not established</x:t>
        </x:is>
      </x:c>
      <x:c r="J49" s="4" t="inlineStr">
        <x:is>
          <x:t xml:space="preserve">COSCO Shipping subsidiary security disclosures / CB search</x:t>
        </x:is>
      </x:c>
    </x:row>
    <x:row r="50">
      <x:c r="A50" s="4" t="inlineStr">
        <x:is>
          <x:t xml:space="preserve">Inovance Technology Co., Ltd. (汇川技术, 300124)</x:t>
        </x:is>
      </x:c>
      <x:c r="B50" s="4" t="inlineStr">
        <x:is>
          <x:t xml:space="preserve">China</x:t>
        </x:is>
      </x:c>
      <x:c r="C50" s="4" t="inlineStr">
        <x:is>
          <x:t xml:space="preserve">Industrial Automation / IIoT</x:t>
        </x:is>
      </x:c>
      <x:c r="D50" s="5" t="inlineStr">
        <x:is>
          <x:t xml:space="preserve">Certified (Subsidiary Only)</x:t>
        </x:is>
      </x:c>
      <x:c r="E50" s="4" t="inlineStr">
        <x:is>
          <x:t xml:space="preserve">Original parent-level claim</x:t>
        </x:is>
      </x:c>
      <x:c r="F50" s="4" t="inlineStr">
        <x:is>
          <x:t xml:space="preserve">Applicable accreditation</x:t>
        </x:is>
      </x:c>
      <x:c r="G50" s="4" t="inlineStr">
        <x:is>
          <x:t xml:space="preserve">Official ESG evidence identifies INOVANCE Automotive, a subsidiary, as having passed ISO 27001 annual review; this does not establish parent-level certification.</x:t>
        </x:is>
      </x:c>
      <x:c r="H50" s="4" t="inlineStr">
        <x:is>
          <x:t xml:space="preserve">Subsidiary</x:t>
        </x:is>
      </x:c>
      <x:c r="I50" s="4" t="inlineStr">
        <x:is>
          <x:t xml:space="preserve">Current subsidiary certification disclosed; parent date not established</x:t>
        </x:is>
      </x:c>
      <x:c r="J50" s="4" t="inlineStr">
        <x:is>
          <x:t xml:space="preserve">Inovance ESG report</x:t>
        </x:is>
      </x:c>
    </x:row>
    <x:row r="51">
      <x:c r="A51" s="4" t="inlineStr">
        <x:is>
          <x:t xml:space="preserve">Haier Smart Home Co., Ltd. (海尔智家, 600690)</x:t>
        </x:is>
      </x:c>
      <x:c r="B51" s="4" t="inlineStr">
        <x:is>
          <x:t xml:space="preserve">China</x:t>
        </x:is>
      </x:c>
      <x:c r="C51" s="4" t="inlineStr">
        <x:is>
          <x:t xml:space="preserve">Smart Home / IoT</x:t>
        </x:is>
      </x:c>
      <x:c r="D51" s="5" t="inlineStr">
        <x:is>
          <x:t xml:space="preserve">Certified (Corporate / Expanded Scope)</x:t>
        </x:is>
      </x:c>
      <x:c r="E51" s="4" t="inlineStr">
        <x:is>
          <x:t xml:space="preserve">BSI/CQC/DNV claimed; initial ~2017</x:t>
        </x:is>
      </x:c>
      <x:c r="F51" s="4" t="inlineStr">
        <x:is>
          <x:t xml:space="preserve">Applicable accreditation</x:t>
        </x:is>
      </x:c>
      <x:c r="G51" s="4" t="inlineStr">
        <x:is>
          <x:t xml:space="preserve">Official ESG evidence states ISO 27001 re-certification completed in July 2025 and scope expanded to Haier Singapore and Haier Vietnam. Do not retain 2017 as verified initial date without certificate evidence.</x:t>
        </x:is>
      </x:c>
      <x:c r="H51" s="4" t="inlineStr">
        <x:is>
          <x:t xml:space="preserve">Comprehensive (Defined Multi-Entity Scope)</x:t>
        </x:is>
      </x:c>
      <x:c r="I51" s="4" t="inlineStr">
        <x:is>
          <x:t xml:space="preserve">Re-certification: Jul 2025; current expiry/initial date not independently established here</x:t>
        </x:is>
      </x:c>
      <x:c r="J51" s="4" t="inlineStr">
        <x:is>
          <x:t xml:space="preserve">Haier Smart Home ESG reporting</x:t>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120" style="2" customWidth="1"/>
  </x:cols>
  <x:sheetData>
    <x:row r="1">
      <x:c r="A1" s="9" t="inlineStr">
        <x:is>
          <x:t xml:space="preserve">ISO/IEC 27001 — 50-Entity Audited Dataset</x:t>
        </x:is>
      </x:c>
    </x:row>
    <x:row r="3">
      <x:c r="A3" t="inlineStr">
        <x:is>
          <x:t xml:space="preserve">Purpose: corrected/reconstructed version of the supplied 50-company table.</x:t>
        </x:is>
      </x:c>
    </x:row>
    <x:row r="4">
      <x:c r="A4" t="inlineStr">
        <x:is>
          <x:t xml:space="preserve">The original 10 data columns are preserved exactly in the main worksheet.</x:t>
        </x:is>
      </x:c>
    </x:row>
    <x:row r="5">
      <x:c r="A5" t="inlineStr">
        <x:is>
          <x:t xml:space="preserve">Coding rule: a subsidiary certificate is not automatically attributed to the listed parent.</x:t>
        </x:is>
      </x:c>
    </x:row>
    <x:row r="6">
      <x:c r="A6" t="inlineStr">
        <x:is>
          <x:t xml:space="preserve">Coding rule: 'Unverifiable' means no qualifying current certificate-level evidence was established; it does NOT mean 'not certified'.</x:t>
        </x:is>
      </x:c>
    </x:row>
    <x:row r="7">
      <x:c r="A7" t="inlineStr">
        <x:is>
          <x:t xml:space="preserve">Scope Type is an analytical classification based on the evidenced scope; it is not a quotation from the certificate unless explicitly stated.</x:t>
        </x:is>
      </x:c>
    </x:row>
    <x:row r="8">
      <x:c r="A8" t="inlineStr">
        <x:is>
          <x:t xml:space="preserve">Historical certification dates are retained only where sufficiently supported; otherwise the date is marked as not established rather than inferred.</x:t>
        </x:is>
      </x:c>
    </x:row>
    <x:row r="9">
      <x:c r="A9" t="inlineStr">
        <x:is>
          <x:t xml:space="preserve">Evidence hierarchy follows the requested order: accreditation/registry → accredited certification body → first-party corporate evidence.</x:t>
        </x:is>
      </x:c>
    </x:row>
    <x:row r="10">
      <x:c r="A10" t="inlineStr">
        <x:is>
          <x:t xml:space="preserve">Important: rows marked Unverifiable should not be used as negative certification observations without an explicit missing-data treatment in the empirical methodology.</x:t>
        </x:is>
      </x:c>
    </x:row>
    <x:row r="12">
      <x:c r="A12" s="10" t="inlineStr">
        <x:is>
          <x:t xml:space="preserve">Source note</x:t>
        </x:is>
      </x:c>
    </x:row>
    <x:row r="13">
      <x:c r="A13" s="11" t="inlineStr">
        <x:is>
          <x:t xml:space="preserve">Primary web evidence was checked for the key corrected records; where certificate-level evidence could not be established, the dataset deliberately remains conservative.</x:t>
        </x:is>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38" hidden="0" customWidth="1"/>
    <x:col min="3" max="3" width="14" hidden="0" customWidth="1"/>
    <x:col min="4" max="4" width="28" hidden="0" customWidth="1"/>
    <x:col min="5" max="5" width="30" hidden="0" customWidth="1"/>
    <x:col min="6" max="6" width="38" hidden="0" customWidth="1"/>
    <x:col min="7" max="7" width="12" hidden="0" customWidth="1"/>
    <x:col min="8" max="8" width="30" hidden="0" customWidth="1"/>
    <x:col min="9" max="9" width="18" hidden="0" customWidth="1"/>
    <x:col min="10" max="10" width="24" hidden="0" customWidth="1"/>
    <x:col min="11" max="11" width="24" hidden="0" customWidth="1"/>
    <x:col min="12" max="12" width="62" hidden="0" customWidth="1"/>
    <x:col min="13" max="13" width="16" hidden="0" customWidth="1"/>
    <x:col min="14" max="14" width="28" hidden="0" customWidth="1"/>
    <x:col min="15" max="15" width="18" hidden="0" customWidth="1"/>
    <x:col min="16" max="16" width="20" hidden="0" customWidth="1"/>
    <x:col min="17" max="17" width="18" hidden="0" customWidth="1"/>
    <x:col min="18" max="18" width="16" hidden="0" customWidth="1"/>
    <x:col min="19" max="19" width="55" hidden="0" customWidth="1"/>
    <x:col min="20" max="20" width="55" hidden="0" customWidth="1"/>
    <x:col min="21" max="21" width="58" hidden="0" customWidth="1"/>
    <x:col min="22" max="22" width="22" hidden="0" customWidth="1"/>
  </x:cols>
  <x:sheetData>
    <x:row r="1">
      <x:c r="A1" s="28" t="str">
        <x:v>No.</x:v>
      </x:c>
      <x:c r="B1" s="28" t="str">
        <x:v>Company Name &amp; Code</x:v>
      </x:c>
      <x:c r="C1" s="28" t="str">
        <x:v>Country</x:v>
      </x:c>
      <x:c r="D1" s="28" t="str">
        <x:v>Sector</x:v>
      </x:c>
      <x:c r="E1" s="28" t="str">
        <x:v>Original ISO Status</x:v>
      </x:c>
      <x:c r="F1" s="28" t="str">
        <x:v>Audited Status (as of 2026-09-14)</x:v>
      </x:c>
      <x:c r="G1" s="28" t="str">
        <x:v>Evidence Tier</x:v>
      </x:c>
      <x:c r="H1" s="28" t="str">
        <x:v>Entity Alignment</x:v>
      </x:c>
      <x:c r="I1" s="28" t="str">
        <x:v>Certificate ID</x:v>
      </x:c>
      <x:c r="J1" s="28" t="str">
        <x:v>Certification Body</x:v>
      </x:c>
      <x:c r="K1" s="28" t="str">
        <x:v>Accreditation / Scheme</x:v>
      </x:c>
      <x:c r="L1" s="28" t="str">
        <x:v>Observed Scope (Evidence-based)</x:v>
      </x:c>
      <x:c r="M1" s="28" t="str">
        <x:v>Scope Evidence Level</x:v>
      </x:c>
      <x:c r="N1" s="28" t="str">
        <x:v>Observed Boundary Type</x:v>
      </x:c>
      <x:c r="O1" s="28" t="str">
        <x:v>Potential Ring-Fencing</x:v>
      </x:c>
      <x:c r="P1" s="28" t="str">
        <x:v>Strategic Intent Evidence</x:v>
      </x:c>
      <x:c r="Q1" s="28" t="str">
        <x:v>Initial / Key Date</x:v>
      </x:c>
      <x:c r="R1" s="28" t="str">
        <x:v>Valid Until</x:v>
      </x:c>
      <x:c r="S1" s="28" t="str">
        <x:v>Primary Source URL</x:v>
      </x:c>
      <x:c r="T1" s="28" t="str">
        <x:v>Secondary Source URL</x:v>
      </x:c>
      <x:c r="U1" s="28" t="str">
        <x:v>Audit Note</x:v>
      </x:c>
      <x:c r="V1" s="28" t="str">
        <x:v>RQ1 Scope Analysis Eligible</x:v>
      </x:c>
    </x:row>
    <x:row r="2">
      <x:c r="A2" s="32" t="n">
        <x:v>1</x:v>
      </x:c>
      <x:c r="B2" s="32" t="str">
        <x:v>Telstra Corporation Limited (ASX: TLS)</x:v>
      </x:c>
      <x:c r="C2" s="32" t="str">
        <x:v>Australia</x:v>
      </x:c>
      <x:c r="D2" s="32" t="str">
        <x:v>Telecommunications &amp; ICT Services</x:v>
      </x:c>
      <x:c r="E2" s="32" t="str">
        <x:v>Certified (Multi-Entity / Defined Scope)</x:v>
      </x:c>
      <x:c r="F2" s="32" t="str">
        <x:v>Current certified</x:v>
      </x:c>
      <x:c r="G2" s="32" t="str">
        <x:v>B</x:v>
      </x:c>
      <x:c r="H2" s="32" t="str">
        <x:v>Multi-entity defined / named legal entities</x:v>
      </x:c>
      <x:c r="I2" s="32" t="str"/>
      <x:c r="J2" s="32" t="str">
        <x:v>Not publicly established from current source</x:v>
      </x:c>
      <x:c r="K2" s="32" t="str">
        <x:v>JAS-ANZ / applicable accreditation</x:v>
      </x:c>
      <x:c r="L2" s="32" t="str">
        <x:v>ISMS covering people/process/technology/facilities supporting products/services for enterprise/business/government customers across named Telstra entities and core countries.</x:v>
      </x:c>
      <x:c r="M2" s="32" t="n">
        <x:v>2</x:v>
      </x:c>
      <x:c r="N2" s="32" t="str">
        <x:v>Multi-entity defined</x:v>
      </x:c>
      <x:c r="O2" s="32" t="str">
        <x:v>Indeterminate</x:v>
      </x:c>
      <x:c r="P2" s="32" t="str">
        <x:v>None</x:v>
      </x:c>
      <x:c r="Q2" s="32" t="str"/>
      <x:c r="R2" s="32" t="str"/>
      <x:c r="S2" s="32" t="str">
        <x:v>https://www.telstra.com.au/business-enterprise/support/customer-assurance</x:v>
      </x:c>
      <x:c r="T2" s="32" t="str"/>
      <x:c r="U2" s="32" t="str">
        <x:v>Current first-party certification evidence. Do not infer group-wide coverage beyond named entities; do not infer strategic intent from the scope.</x:v>
      </x:c>
      <x:c r="V2" s="32" t="str">
        <x:v>Yes</x:v>
      </x:c>
    </x:row>
    <x:row r="3">
      <x:c r="A3" s="32" t="n">
        <x:v>2</x:v>
      </x:c>
      <x:c r="B3" s="32" t="str">
        <x:v>TPG Telecom Limited (ASX: TPG)</x:v>
      </x:c>
      <x:c r="C3" s="32" t="str">
        <x:v>Australia</x:v>
      </x:c>
      <x:c r="D3" s="32" t="str">
        <x:v>Telecommunications &amp; Managed Services</x:v>
      </x:c>
      <x:c r="E3" s="32" t="str">
        <x:v>Unverifiable</x:v>
      </x:c>
      <x:c r="F3" s="32" t="str">
        <x:v>No qualifying public record found</x:v>
      </x:c>
      <x:c r="G3" s="32" t="str">
        <x:v>D</x:v>
      </x:c>
      <x:c r="H3" s="32" t="str">
        <x:v>Listed parent</x:v>
      </x:c>
      <x:c r="I3" s="32" t="str"/>
      <x:c r="J3" s="32" t="str"/>
      <x:c r="K3" s="32" t="str"/>
      <x:c r="L3" s="32" t="str">
        <x:v>No qualifying current parent-level ISO/IEC 27001 certificate located in this audit.</x:v>
      </x:c>
      <x:c r="M3" s="32" t="n">
        <x:v>0</x:v>
      </x:c>
      <x:c r="N3" s="32" t="str">
        <x:v>Unknown</x:v>
      </x:c>
      <x:c r="O3" s="32" t="str">
        <x:v>Indeterminate</x:v>
      </x:c>
      <x:c r="P3" s="32" t="str">
        <x:v>None</x:v>
      </x:c>
      <x:c r="Q3" s="32" t="str"/>
      <x:c r="R3" s="32" t="str"/>
      <x:c r="S3" s="32" t="str"/>
      <x:c r="T3" s="32" t="str"/>
      <x:c r="U3" s="32" t="str">
        <x:v>Missing evidence is not evidence of absence.</x:v>
      </x:c>
      <x:c r="V3" s="32" t="str">
        <x:v>No</x:v>
      </x:c>
    </x:row>
    <x:row r="4">
      <x:c r="A4" s="32" t="n">
        <x:v>3</x:v>
      </x:c>
      <x:c r="B4" s="32" t="str">
        <x:v>Singtel Optus Pty Limited (Optus)</x:v>
      </x:c>
      <x:c r="C4" s="32" t="str">
        <x:v>Australia</x:v>
      </x:c>
      <x:c r="D4" s="32" t="str">
        <x:v>Telecommunications &amp; Managed ICT</x:v>
      </x:c>
      <x:c r="E4" s="32" t="str">
        <x:v>Certified (Historical / Service Scope)</x:v>
      </x:c>
      <x:c r="F4" s="32" t="str">
        <x:v>Historical/service-specific certified; current enterprise-wide not established</x:v>
      </x:c>
      <x:c r="G4" s="32" t="str">
        <x:v>B</x:v>
      </x:c>
      <x:c r="H4" s="32" t="str">
        <x:v>Service scope / operating service</x:v>
      </x:c>
      <x:c r="I4" s="32" t="str"/>
      <x:c r="J4" s="32" t="str"/>
      <x:c r="K4" s="32" t="str"/>
      <x:c r="L4" s="32" t="str">
        <x:v>EXPAN co-location / hosting services; official 2008 evidence is service-specific and does not establish enterprise-wide Optus certification.</x:v>
      </x:c>
      <x:c r="M4" s="32" t="n">
        <x:v>2</x:v>
      </x:c>
      <x:c r="N4" s="32" t="str">
        <x:v>Product/service</x:v>
      </x:c>
      <x:c r="O4" s="32" t="str">
        <x:v>Indeterminate</x:v>
      </x:c>
      <x:c r="P4" s="32" t="str">
        <x:v>None</x:v>
      </x:c>
      <x:c r="Q4" s="32" t="str">
        <x:v>2008-02-27</x:v>
      </x:c>
      <x:c r="R4" s="32" t="str"/>
      <x:c r="S4" s="32" t="str">
        <x:v>https://www.optus.com.au/about/media-centre/media-releases/2008/02/optus-attains-global-security-standard-for-data-centre-co-location-services</x:v>
      </x:c>
      <x:c r="T4" s="32" t="str"/>
      <x:c r="U4" s="32" t="str">
        <x:v>Corrected from an implied broad scope. Current enterprise-wide status is not inferred from historical certification.</x:v>
      </x:c>
      <x:c r="V4" s="32" t="str">
        <x:v>Yes</x:v>
      </x:c>
    </x:row>
    <x:row r="5">
      <x:c r="A5" s="32" t="n">
        <x:v>4</x:v>
      </x:c>
      <x:c r="B5" s="32" t="str">
        <x:v>NEXTDC Limited (ASX: NXT)</x:v>
      </x:c>
      <x:c r="C5" s="32" t="str">
        <x:v>Australia</x:v>
      </x:c>
      <x:c r="D5" s="32" t="str">
        <x:v>Data Centre Operator (Pure-play)</x:v>
      </x:c>
      <x:c r="E5" s="32" t="str">
        <x:v>Certified (Fleet-wide Core Service Scope)</x:v>
      </x:c>
      <x:c r="F5" s="32" t="str">
        <x:v>Current certified</x:v>
      </x:c>
      <x:c r="G5" s="32" t="str">
        <x:v>A</x:v>
      </x:c>
      <x:c r="H5" s="32" t="str">
        <x:v>Listed parent / defined core-business facilities</x:v>
      </x:c>
      <x:c r="I5" s="32" t="str">
        <x:v>ITGOV40020</x:v>
      </x:c>
      <x:c r="J5" s="32" t="str">
        <x:v>INTERTEK SAI Global</x:v>
      </x:c>
      <x:c r="K5" s="32" t="str">
        <x:v>Applicable accreditation</x:v>
      </x:c>
      <x:c r="L5" s="32" t="str">
        <x:v>Management, operation, maintenance and hosting of NEXTDC data centres; appendix lists current facilities.</x:v>
      </x:c>
      <x:c r="M5" s="32" t="n">
        <x:v>3</x:v>
      </x:c>
      <x:c r="N5" s="32" t="str">
        <x:v>Core-business comprehensive</x:v>
      </x:c>
      <x:c r="O5" s="32" t="str">
        <x:v>No</x:v>
      </x:c>
      <x:c r="P5" s="32" t="str">
        <x:v>None</x:v>
      </x:c>
      <x:c r="Q5" s="32" t="str">
        <x:v>2014-07-01</x:v>
      </x:c>
      <x:c r="R5" s="32" t="str">
        <x:v>2028-05-16</x:v>
      </x:c>
      <x:c r="S5" s="32" t="str">
        <x:v>https://www.nextdc.com/hubfs/Certificate_ITGOV40020_20250425.pdf</x:v>
      </x:c>
      <x:c r="T5" s="32" t="str">
        <x:v>https://www.nextdc.com/certifications</x:v>
      </x:c>
      <x:c r="U5" s="32" t="str">
        <x:v>Strongest certificate-level example of broad/core-business scope in the sample.</x:v>
      </x:c>
      <x:c r="V5" s="32" t="str">
        <x:v>Yes</x:v>
      </x:c>
    </x:row>
    <x:row r="6">
      <x:c r="A6" s="32" t="n">
        <x:v>5</x:v>
      </x:c>
      <x:c r="B6" s="32" t="str">
        <x:v>Macquarie Technology Group (ASX: MAQ)</x:v>
      </x:c>
      <x:c r="C6" s="32" t="str">
        <x:v>Australia</x:v>
      </x:c>
      <x:c r="D6" s="32" t="str">
        <x:v>Cloud, Cyber Security &amp; Data Centres</x:v>
      </x:c>
      <x:c r="E6" s="32" t="str">
        <x:v>Certified (Subsidiary / Operating Entity)</x:v>
      </x:c>
      <x:c r="F6" s="32" t="str">
        <x:v>Current certified — subsidiary/operating entity only</x:v>
      </x:c>
      <x:c r="G6" s="32" t="str">
        <x:v>A</x:v>
      </x:c>
      <x:c r="H6" s="32" t="str">
        <x:v>Subsidiary / operating entity</x:v>
      </x:c>
      <x:c r="I6" s="32" t="str">
        <x:v>ISM20044</x:v>
      </x:c>
      <x:c r="J6" s="32" t="str">
        <x:v>INTERTEK SAI Global / SAI Global Certification Services</x:v>
      </x:c>
      <x:c r="K6" s="32" t="str">
        <x:v>Applicable accreditation</x:v>
      </x:c>
      <x:c r="L6" s="32" t="str">
        <x:v>Macquarie Cloud Services provision of private/public cloud, colocation and hybrid hosting; Macquarie Data Centres secure data centre facilities.</x:v>
      </x:c>
      <x:c r="M6" s="32" t="n">
        <x:v>3</x:v>
      </x:c>
      <x:c r="N6" s="32" t="str">
        <x:v>Subsidiary/legal entity</x:v>
      </x:c>
      <x:c r="O6" s="32" t="str">
        <x:v>Indeterminate</x:v>
      </x:c>
      <x:c r="P6" s="32" t="str">
        <x:v>None</x:v>
      </x:c>
      <x:c r="Q6" s="32" t="str">
        <x:v>2005-04-21</x:v>
      </x:c>
      <x:c r="R6" s="32" t="str">
        <x:v>2029-02-08</x:v>
      </x:c>
      <x:c r="S6" s="32" t="str">
        <x:v>https://www.macquariedatacentres.com/wp-content/uploads/sites/5/2025/10/iso-27001.pdf</x:v>
      </x:c>
      <x:c r="T6" s="32" t="str"/>
      <x:c r="U6" s="32" t="str">
        <x:v>Certificate holder is Macquarie Technology Operations Pty Limited, not the listed parent. Do not promote subsidiary certification to group-level certification.</x:v>
      </x:c>
      <x:c r="V6" s="32" t="str">
        <x:v>Yes</x:v>
      </x:c>
    </x:row>
    <x:row r="7">
      <x:c r="A7" s="32" t="n">
        <x:v>6</x:v>
      </x:c>
      <x:c r="B7" s="32" t="str">
        <x:v>China Telecom Corporation Limited (中国电信, 601728)</x:v>
      </x:c>
      <x:c r="C7" s="32" t="str">
        <x:v>China</x:v>
      </x:c>
      <x:c r="D7" s="32" t="str">
        <x:v>Integrated Telecommunications</x:v>
      </x:c>
      <x:c r="E7" s="32" t="str">
        <x:v>Unverifiable (Parent Level)</x:v>
      </x:c>
      <x:c r="F7" s="32" t="str">
        <x:v>Parent unverified; related-entity evidence only</x:v>
      </x:c>
      <x:c r="G7" s="32" t="str">
        <x:v>C</x:v>
      </x:c>
      <x:c r="H7" s="32" t="str">
        <x:v>Subsidiaries/services; parent unverified</x:v>
      </x:c>
      <x:c r="I7" s="32" t="str"/>
      <x:c r="J7" s="32" t="str"/>
      <x:c r="K7" s="32" t="str"/>
      <x:c r="L7" s="32" t="str">
        <x:v>Related China Telecom entities/services may have ISO 27001 evidence, but no current parent-level certificate was established.</x:v>
      </x:c>
      <x:c r="M7" s="32" t="n">
        <x:v>1</x:v>
      </x:c>
      <x:c r="N7" s="32" t="str">
        <x:v>Subsidiary/business-unit</x:v>
      </x:c>
      <x:c r="O7" s="32" t="str">
        <x:v>Indeterminate</x:v>
      </x:c>
      <x:c r="P7" s="32" t="str">
        <x:v>None</x:v>
      </x:c>
      <x:c r="Q7" s="32" t="str"/>
      <x:c r="R7" s="32" t="str"/>
      <x:c r="S7" s="32" t="str"/>
      <x:c r="T7" s="32" t="str"/>
      <x:c r="U7" s="32" t="str">
        <x:v>The row is retained in the sampling frame but excluded from parent-level certification inference.</x:v>
      </x:c>
      <x:c r="V7" s="32" t="str">
        <x:v>Conditional</x:v>
      </x:c>
    </x:row>
    <x:row r="8">
      <x:c r="A8" s="32" t="n">
        <x:v>7</x:v>
      </x:c>
      <x:c r="B8" s="32" t="str">
        <x:v>China Mobile Communications Group (中国移动, 600941)</x:v>
      </x:c>
      <x:c r="C8" s="32" t="str">
        <x:v>China</x:v>
      </x:c>
      <x:c r="D8" s="32" t="str">
        <x:v>Integrated Telecommunications</x:v>
      </x:c>
      <x:c r="E8" s="32" t="str">
        <x:v>Certified (Subsidiary); Parent Unverifiable</x:v>
      </x:c>
      <x:c r="F8" s="32" t="str">
        <x:v>Parent unverified; subsidiary certified</x:v>
      </x:c>
      <x:c r="G8" s="32" t="str">
        <x:v>A</x:v>
      </x:c>
      <x:c r="H8" s="32" t="str">
        <x:v>Subsidiary</x:v>
      </x:c>
      <x:c r="I8" s="32" t="str"/>
      <x:c r="J8" s="32" t="str">
        <x:v>SGS</x:v>
      </x:c>
      <x:c r="K8" s="32" t="str">
        <x:v>Applicable accreditation</x:v>
      </x:c>
      <x:c r="L8" s="32" t="str">
        <x:v>China Mobile International Limited (wholly owned subsidiary): development/maintenance of CMI business and management-support IT applications and management of related IT infrastructure.</x:v>
      </x:c>
      <x:c r="M8" s="32" t="n">
        <x:v>3</x:v>
      </x:c>
      <x:c r="N8" s="32" t="str">
        <x:v>Subsidiary/legal entity</x:v>
      </x:c>
      <x:c r="O8" s="32" t="str">
        <x:v>Indeterminate</x:v>
      </x:c>
      <x:c r="P8" s="32" t="str">
        <x:v>None</x:v>
      </x:c>
      <x:c r="Q8" s="32" t="str">
        <x:v>2025-12-19</x:v>
      </x:c>
      <x:c r="R8" s="32" t="str"/>
      <x:c r="S8" s="32" t="str">
        <x:v>https://www.sgs.com/zh-hk/news/2025/12/sgs-awards-iso-27001-to-china-mobile-international-limited</x:v>
      </x:c>
      <x:c r="T8" s="32" t="str"/>
      <x:c r="U8" s="32" t="str">
        <x:v>Strong subsidiary evidence; cannot be attributed to China Mobile parent.</x:v>
      </x:c>
      <x:c r="V8" s="32" t="str">
        <x:v>Conditional</x:v>
      </x:c>
    </x:row>
    <x:row r="9">
      <x:c r="A9" s="32" t="n">
        <x:v>8</x:v>
      </x:c>
      <x:c r="B9" s="32" t="str">
        <x:v>China United Network Communications (中国联通, 600050)</x:v>
      </x:c>
      <x:c r="C9" s="32" t="str">
        <x:v>China</x:v>
      </x:c>
      <x:c r="D9" s="32" t="str">
        <x:v>Integrated Telecommunications</x:v>
      </x:c>
      <x:c r="E9" s="32" t="str">
        <x:v>Unverifiable (Parent Level)</x:v>
      </x:c>
      <x:c r="F9" s="32" t="str">
        <x:v>Parent unverified; related-entity evidence only</x:v>
      </x:c>
      <x:c r="G9" s="32" t="str">
        <x:v>C</x:v>
      </x:c>
      <x:c r="H9" s="32" t="str">
        <x:v>Subsidiaries/services; parent unverified</x:v>
      </x:c>
      <x:c r="I9" s="32" t="str"/>
      <x:c r="J9" s="32" t="str"/>
      <x:c r="K9" s="32" t="str"/>
      <x:c r="L9" s="32" t="str">
        <x:v>Unicom-related entities/services have certification references, but no current parent-level certificate established.</x:v>
      </x:c>
      <x:c r="M9" s="32" t="n">
        <x:v>1</x:v>
      </x:c>
      <x:c r="N9" s="32" t="str">
        <x:v>Subsidiary/business-unit</x:v>
      </x:c>
      <x:c r="O9" s="32" t="str">
        <x:v>Indeterminate</x:v>
      </x:c>
      <x:c r="P9" s="32" t="str">
        <x:v>None</x:v>
      </x:c>
      <x:c r="Q9" s="32" t="str"/>
      <x:c r="R9" s="32" t="str"/>
      <x:c r="S9" s="32" t="str"/>
      <x:c r="T9" s="32" t="str"/>
      <x:c r="U9" s="32" t="str">
        <x:v>Do not classify the parent as certified without parent-level evidence.</x:v>
      </x:c>
      <x:c r="V9" s="32" t="str">
        <x:v>Conditional</x:v>
      </x:c>
    </x:row>
    <x:row r="10">
      <x:c r="A10" s="32" t="n">
        <x:v>9</x:v>
      </x:c>
      <x:c r="B10" s="32" t="str">
        <x:v>Alibaba Cloud Computing Co., Ltd. (阿里云计算有限公司)</x:v>
      </x:c>
      <x:c r="C10" s="32" t="str">
        <x:v>China</x:v>
      </x:c>
      <x:c r="D10" s="32" t="str">
        <x:v>Cloud Computing / ICT</x:v>
      </x:c>
      <x:c r="E10" s="32" t="str">
        <x:v>Certified</x:v>
      </x:c>
      <x:c r="F10" s="32" t="str">
        <x:v>Current certified</x:v>
      </x:c>
      <x:c r="G10" s="32" t="str">
        <x:v>A</x:v>
      </x:c>
      <x:c r="H10" s="32" t="str">
        <x:v>Listed legal entity</x:v>
      </x:c>
      <x:c r="I10" s="32" t="str">
        <x:v>IS591687</x:v>
      </x:c>
      <x:c r="J10" s="32" t="str">
        <x:v>BSI</x:v>
      </x:c>
      <x:c r="K10" s="32" t="str">
        <x:v>BSI accreditation</x:v>
      </x:c>
      <x:c r="L10" s="32" t="str">
        <x:v>Provision of cloud-computing data-centre operation and maintenance services based on third-party IDC.</x:v>
      </x:c>
      <x:c r="M10" s="32" t="n">
        <x:v>3</x:v>
      </x:c>
      <x:c r="N10" s="32" t="str">
        <x:v>Product/service</x:v>
      </x:c>
      <x:c r="O10" s="32" t="str">
        <x:v>Indeterminate</x:v>
      </x:c>
      <x:c r="P10" s="32" t="str">
        <x:v>None</x:v>
      </x:c>
      <x:c r="Q10" s="32" t="str">
        <x:v>2012-11-05</x:v>
      </x:c>
      <x:c r="R10" s="32" t="str">
        <x:v>2027-11-03</x:v>
      </x:c>
      <x:c r="S10" s="32" t="str">
        <x:v>https://www.bsigroup.com/en-ID/products-and-services/assessment-and-certification/validation-and-verification/client-directory-profile/ALIBAB-0047453910-001/</x:v>
      </x:c>
      <x:c r="T10" s="32" t="str"/>
      <x:c r="U10" s="32" t="str">
        <x:v>Do not merge separate Alibaba Cloud BSI certificates into a single undifferentiated global claim.</x:v>
      </x:c>
      <x:c r="V10" s="32" t="str">
        <x:v>Yes</x:v>
      </x:c>
    </x:row>
    <x:row r="11">
      <x:c r="A11" s="32" t="n">
        <x:v>10</x:v>
      </x:c>
      <x:c r="B11" s="32" t="str">
        <x:v>Tencent Cloud Computing (Beijing) Co., Ltd. (腾讯云计算（北京）有限责任公司)</x:v>
      </x:c>
      <x:c r="C11" s="32" t="str">
        <x:v>China</x:v>
      </x:c>
      <x:c r="D11" s="32" t="str">
        <x:v>Cloud Computing / ICT</x:v>
      </x:c>
      <x:c r="E11" s="32" t="str">
        <x:v>Unverifiable</x:v>
      </x:c>
      <x:c r="F11" s="32" t="str">
        <x:v>Current certified claim — service entity; certificate metadata incomplete</x:v>
      </x:c>
      <x:c r="G11" s="32" t="str">
        <x:v>C</x:v>
      </x:c>
      <x:c r="H11" s="32" t="str">
        <x:v>Cloud/service entity</x:v>
      </x:c>
      <x:c r="I11" s="32" t="str"/>
      <x:c r="J11" s="32" t="str"/>
      <x:c r="K11" s="32" t="str"/>
      <x:c r="L11" s="32" t="str">
        <x:v>Tencent Cloud publicly states ISO/IEC 27001:2022 certification; exact certificate scope/ID not established in this audit.</x:v>
      </x:c>
      <x:c r="M11" s="32" t="n">
        <x:v>1</x:v>
      </x:c>
      <x:c r="N11" s="32" t="str">
        <x:v>Product/service</x:v>
      </x:c>
      <x:c r="O11" s="32" t="str">
        <x:v>Indeterminate</x:v>
      </x:c>
      <x:c r="P11" s="32" t="str">
        <x:v>None</x:v>
      </x:c>
      <x:c r="Q11" s="32" t="str"/>
      <x:c r="R11" s="32" t="str"/>
      <x:c r="S11" s="32" t="str"/>
      <x:c r="T11" s="32" t="str">
        <x:v>https://cloud.tencent.com/document/product/382/38292</x:v>
      </x:c>
      <x:c r="U11" s="32" t="str">
        <x:v>First-party certification claim is usable as evidence of a claim, but not as certificate-level metadata.</x:v>
      </x:c>
      <x:c r="V11" s="32" t="str">
        <x:v>Conditional</x:v>
      </x:c>
    </x:row>
    <x:row r="12">
      <x:c r="A12" s="32" t="n">
        <x:v>11</x:v>
      </x:c>
      <x:c r="B12" s="32" t="str">
        <x:v>Technology One Limited (ASX: TNE)</x:v>
      </x:c>
      <x:c r="C12" s="32" t="str">
        <x:v>Australia</x:v>
      </x:c>
      <x:c r="D12" s="32" t="str">
        <x:v>Enterprise Software / SaaS</x:v>
      </x:c>
      <x:c r="E12" s="32" t="str">
        <x:v>Certified</x:v>
      </x:c>
      <x:c r="F12" s="32" t="str">
        <x:v>Current certified</x:v>
      </x:c>
      <x:c r="G12" s="32" t="str">
        <x:v>A</x:v>
      </x:c>
      <x:c r="H12" s="32" t="str">
        <x:v>Listed legal entity / R&amp;D Platform Services</x:v>
      </x:c>
      <x:c r="I12" s="32" t="str">
        <x:v>1322 ISMS</x:v>
      </x:c>
      <x:c r="J12" s="32" t="str">
        <x:v>Southpac Certifications</x:v>
      </x:c>
      <x:c r="K12" s="32" t="str">
        <x:v>Applicable accreditation</x:v>
      </x:c>
      <x:c r="L12" s="32" t="str">
        <x:v>ISMS for provision of SaaS solutions within a Cloud Architecture by R&amp;D Platform Services teams.</x:v>
      </x:c>
      <x:c r="M12" s="32" t="n">
        <x:v>3</x:v>
      </x:c>
      <x:c r="N12" s="32" t="str">
        <x:v>Product/service + organisational unit</x:v>
      </x:c>
      <x:c r="O12" s="32" t="str">
        <x:v>Indeterminate</x:v>
      </x:c>
      <x:c r="P12" s="32" t="str">
        <x:v>None</x:v>
      </x:c>
      <x:c r="Q12" s="32" t="str">
        <x:v>2012-11-08</x:v>
      </x:c>
      <x:c r="R12" s="32" t="str">
        <x:v>2027-11-07</x:v>
      </x:c>
      <x:c r="S12" s="32" t="str">
        <x:v>https://www.technologyonecorp.com/__data/assets/pdf_file/0007/136681/ISO27001.pdf</x:v>
      </x:c>
      <x:c r="T12" s="32" t="str"/>
      <x:c r="U12" s="32" t="str">
        <x:v>Corrected: certificate does NOT establish comprehensive whole-company scope.</x:v>
      </x:c>
      <x:c r="V12" s="32" t="str">
        <x:v>Yes</x:v>
      </x:c>
    </x:row>
    <x:row r="13">
      <x:c r="A13" s="32" t="n">
        <x:v>12</x:v>
      </x:c>
      <x:c r="B13" s="32" t="str">
        <x:v>Megaport Limited (ASX: MP1)</x:v>
      </x:c>
      <x:c r="C13" s="32" t="str">
        <x:v>Australia</x:v>
      </x:c>
      <x:c r="D13" s="32" t="str">
        <x:v>Cloud Connectivity / Data Centre</x:v>
      </x:c>
      <x:c r="E13" s="32" t="str">
        <x:v>Certified</x:v>
      </x:c>
      <x:c r="F13" s="32" t="str">
        <x:v>Certified; renewed, exact current certificate metadata unavailable</x:v>
      </x:c>
      <x:c r="G13" s="32" t="str">
        <x:v>B</x:v>
      </x:c>
      <x:c r="H13" s="32" t="str">
        <x:v>Listed legal entity</x:v>
      </x:c>
      <x:c r="I13" s="32" t="str"/>
      <x:c r="J13" s="32" t="str"/>
      <x:c r="K13" s="32" t="str"/>
      <x:c r="L13" s="32" t="str">
        <x:v>Megaport states ISO/IEC 27001:2013 certification, renewed 9 Dec 2023; exact current certificate scope/expiry not established.</x:v>
      </x:c>
      <x:c r="M13" s="32" t="n">
        <x:v>2</x:v>
      </x:c>
      <x:c r="N13" s="32" t="str">
        <x:v>Core service / defined scope</x:v>
      </x:c>
      <x:c r="O13" s="32" t="str">
        <x:v>Indeterminate</x:v>
      </x:c>
      <x:c r="P13" s="32" t="str">
        <x:v>None</x:v>
      </x:c>
      <x:c r="Q13" s="32" t="str">
        <x:v>2020-12-09</x:v>
      </x:c>
      <x:c r="R13" s="32" t="str"/>
      <x:c r="S13" s="32" t="str">
        <x:v>https://www.megaport.com/wp-content/uploads/2021/08/FY21_Corporate_Governance_Statement.pdf</x:v>
      </x:c>
      <x:c r="T13" s="32" t="str"/>
      <x:c r="U13" s="32" t="str">
        <x:v>Do not retain 2019 as initial certification; official corporate governance gives Dec 2020.</x:v>
      </x:c>
      <x:c r="V13" s="32" t="str">
        <x:v>Yes</x:v>
      </x:c>
    </x:row>
    <x:row r="14">
      <x:c r="A14" s="32" t="n">
        <x:v>13</x:v>
      </x:c>
      <x:c r="B14" s="32" t="str">
        <x:v>Data#3 Limited (ASX: DTL)</x:v>
      </x:c>
      <x:c r="C14" s="32" t="str">
        <x:v>Australia</x:v>
      </x:c>
      <x:c r="D14" s="32" t="str">
        <x:v>Managed IT Services</x:v>
      </x:c>
      <x:c r="E14" s="32" t="str">
        <x:v>Certified (Defined Scope)</x:v>
      </x:c>
      <x:c r="F14" s="32" t="str">
        <x:v>Certified; defined service scope</x:v>
      </x:c>
      <x:c r="G14" s="32" t="str">
        <x:v>B</x:v>
      </x:c>
      <x:c r="H14" s="32" t="str">
        <x:v>Listed legal entity</x:v>
      </x:c>
      <x:c r="I14" s="32" t="str"/>
      <x:c r="J14" s="32" t="str"/>
      <x:c r="K14" s="32" t="str"/>
      <x:c r="L14" s="32" t="str">
        <x:v>Official governance materials identify ISO 27001:2013 certification for IPT and Managed Services.</x:v>
      </x:c>
      <x:c r="M14" s="32" t="n">
        <x:v>2</x:v>
      </x:c>
      <x:c r="N14" s="32" t="str">
        <x:v>Product/service</x:v>
      </x:c>
      <x:c r="O14" s="32" t="str">
        <x:v>Indeterminate</x:v>
      </x:c>
      <x:c r="P14" s="32" t="str">
        <x:v>None</x:v>
      </x:c>
      <x:c r="Q14" s="32" t="str"/>
      <x:c r="R14" s="32" t="str"/>
      <x:c r="S14" s="32" t="str"/>
      <x:c r="T14" s="32" t="str">
        <x:v>https://www.data3.com/services/managed-services/</x:v>
      </x:c>
      <x:c r="U14" s="32" t="str">
        <x:v>Scope is restricted to documented IPT and Managed Services context; no basis to infer broader NOC/SOC/cloud coverage.</x:v>
      </x:c>
      <x:c r="V14" s="32" t="str">
        <x:v>Yes</x:v>
      </x:c>
    </x:row>
    <x:row r="15">
      <x:c r="A15" s="32" t="n">
        <x:v>14</x:v>
      </x:c>
      <x:c r="B15" s="32" t="str">
        <x:v>Dicker Data Limited (ASX: DDR)</x:v>
      </x:c>
      <x:c r="C15" s="32" t="str">
        <x:v>Australia</x:v>
      </x:c>
      <x:c r="D15" s="32" t="str">
        <x:v>ICT Distribution</x:v>
      </x:c>
      <x:c r="E15" s="32" t="str">
        <x:v>Unverifiable</x:v>
      </x:c>
      <x:c r="F15" s="32" t="str">
        <x:v>No qualifying public record found</x:v>
      </x:c>
      <x:c r="G15" s="32" t="str">
        <x:v>D</x:v>
      </x:c>
      <x:c r="H15" s="32" t="str">
        <x:v>Listed parent</x:v>
      </x:c>
      <x:c r="I15" s="32" t="str"/>
      <x:c r="J15" s="32" t="str"/>
      <x:c r="K15" s="32" t="str"/>
      <x:c r="L15" s="32" t="str">
        <x:v>No qualifying current parent-level ISO/IEC 27001 certificate located.</x:v>
      </x:c>
      <x:c r="M15" s="32" t="n">
        <x:v>0</x:v>
      </x:c>
      <x:c r="N15" s="32" t="str">
        <x:v>Unknown</x:v>
      </x:c>
      <x:c r="O15" s="32" t="str">
        <x:v>Indeterminate</x:v>
      </x:c>
      <x:c r="P15" s="32" t="str">
        <x:v>None</x:v>
      </x:c>
      <x:c r="Q15" s="32" t="str"/>
      <x:c r="R15" s="32" t="str"/>
      <x:c r="S15" s="32" t="str"/>
      <x:c r="T15" s="32" t="str"/>
      <x:c r="U15" s="32" t="str">
        <x:v>Third-party data-centre/provider certifications are not attributed to Dicker Data.</x:v>
      </x:c>
      <x:c r="V15" s="32" t="str">
        <x:v>No</x:v>
      </x:c>
    </x:row>
    <x:row r="16">
      <x:c r="A16" s="32" t="n">
        <x:v>15</x:v>
      </x:c>
      <x:c r="B16" s="32" t="str">
        <x:v>Iress Limited (ASX: IRE)</x:v>
      </x:c>
      <x:c r="C16" s="32" t="str">
        <x:v>Australia</x:v>
      </x:c>
      <x:c r="D16" s="32" t="str">
        <x:v>Financial / Enterprise Software</x:v>
      </x:c>
      <x:c r="E16" s="32" t="str">
        <x:v>Certified (Defined Scope)</x:v>
      </x:c>
      <x:c r="F16" s="32" t="str">
        <x:v>Historical certified; current certificate metadata not independently established</x:v>
      </x:c>
      <x:c r="G16" s="32" t="str">
        <x:v>B</x:v>
      </x:c>
      <x:c r="H16" s="32" t="str">
        <x:v>Listed legal entity / defined ISMS</x:v>
      </x:c>
      <x:c r="I16" s="32" t="str"/>
      <x:c r="J16" s="32" t="str">
        <x:v>BSI (independent assessment disclosed)</x:v>
      </x:c>
      <x:c r="K16" s="32" t="str"/>
      <x:c r="L16" s="32" t="str">
        <x:v>ISO/IEC 27001:2013 certification effective 28 Nov 2021–21 Apr 2025; Iress disclosed transition to ISO/IEC 27001:2022 with controls independently assessed by BSI.</x:v>
      </x:c>
      <x:c r="M16" s="32" t="n">
        <x:v>2</x:v>
      </x:c>
      <x:c r="N16" s="32" t="str">
        <x:v>Defined ISMS scope</x:v>
      </x:c>
      <x:c r="O16" s="32" t="str">
        <x:v>Indeterminate</x:v>
      </x:c>
      <x:c r="P16" s="32" t="str">
        <x:v>None</x:v>
      </x:c>
      <x:c r="Q16" s="32" t="str">
        <x:v>2021-11-28</x:v>
      </x:c>
      <x:c r="R16" s="32" t="str">
        <x:v>2025-04-21</x:v>
      </x:c>
      <x:c r="S16" s="32" t="str"/>
      <x:c r="T16" s="32" t="str">
        <x:v>https://www.iress.com/media/wa3h0m1w/2024-annual-report.pdf</x:v>
      </x:c>
      <x:c r="U16" s="32" t="str">
        <x:v>As of audit date, current 2022 certificate number/expiry was not independently located; do not code as current certified without an explicit certificate.</x:v>
      </x:c>
      <x:c r="V16" s="32" t="str">
        <x:v>Yes</x:v>
      </x:c>
    </x:row>
    <x:row r="17">
      <x:c r="A17" s="32" t="n">
        <x:v>16</x:v>
      </x:c>
      <x:c r="B17" s="32" t="str">
        <x:v>Yonyou Network Technology Co., Ltd. (用友网络, 600588)</x:v>
      </x:c>
      <x:c r="C17" s="32" t="str">
        <x:v>China</x:v>
      </x:c>
      <x:c r="D17" s="32" t="str">
        <x:v>Enterprise Software / Cloud</x:v>
      </x:c>
      <x:c r="E17" s="32" t="str">
        <x:v>Certified (Defined Product/Service Scope)</x:v>
      </x:c>
      <x:c r="F17" s="32" t="str">
        <x:v>Current certified claim; exact scope metadata unavailable</x:v>
      </x:c>
      <x:c r="G17" s="32" t="str">
        <x:v>B</x:v>
      </x:c>
      <x:c r="H17" s="32" t="str">
        <x:v>Listed legal entity / service claims</x:v>
      </x:c>
      <x:c r="I17" s="32" t="str"/>
      <x:c r="J17" s="32" t="str"/>
      <x:c r="K17" s="32" t="str"/>
      <x:c r="L17" s="32" t="str">
        <x:v>Yonyou publicly lists ISO/IEC 27001 among its international certifications; exact certificate scope, ID and validity not established.</x:v>
      </x:c>
      <x:c r="M17" s="32" t="n">
        <x:v>1</x:v>
      </x:c>
      <x:c r="N17" s="32" t="str">
        <x:v>Unknown/defined service</x:v>
      </x:c>
      <x:c r="O17" s="32" t="str">
        <x:v>Indeterminate</x:v>
      </x:c>
      <x:c r="P17" s="32" t="str">
        <x:v>None</x:v>
      </x:c>
      <x:c r="Q17" s="32" t="str"/>
      <x:c r="R17" s="32" t="str"/>
      <x:c r="S17" s="32" t="str">
        <x:v>https://www.yonyou.com/yy/trust.html</x:v>
      </x:c>
      <x:c r="T17" s="32" t="str">
        <x:v>https://www.yonyou.com/subject/trial.html</x:v>
      </x:c>
      <x:c r="U17" s="32" t="str">
        <x:v>Certification claim supported; certificate-level topology not available.</x:v>
      </x:c>
      <x:c r="V17" s="32" t="str">
        <x:v>Conditional</x:v>
      </x:c>
    </x:row>
    <x:row r="18">
      <x:c r="A18" s="32" t="n">
        <x:v>17</x:v>
      </x:c>
      <x:c r="B18" s="32" t="str">
        <x:v>Kingdee International Software Group Co., Ltd. (金蝶国际, 0268.HK)</x:v>
      </x:c>
      <x:c r="C18" s="32" t="str">
        <x:v>Hong Kong / China</x:v>
      </x:c>
      <x:c r="D18" s="32" t="str">
        <x:v>Enterprise Software / Cloud</x:v>
      </x:c>
      <x:c r="E18" s="32" t="str">
        <x:v>Certified (Product / Platform Scope)</x:v>
      </x:c>
      <x:c r="F18" s="32" t="str">
        <x:v>Current certified; cloud product/platform scope</x:v>
      </x:c>
      <x:c r="G18" s="32" t="str">
        <x:v>B</x:v>
      </x:c>
      <x:c r="H18" s="32" t="str">
        <x:v>Listed legal entity / cloud products</x:v>
      </x:c>
      <x:c r="I18" s="32"/>
      <x:c r="J18" s="32"/>
      <x:c r="K18" s="32"/>
      <x:c r="L18" s="32" t="str">
        <x:v>Published ISO/IEC 27001:2022 coverage includes Kingdee Cloud Constellation SaaS, Kingdee Cloud Cosmic PaaS and related Kingdee cloud services.</x:v>
      </x:c>
      <x:c r="M18" s="32" t="n">
        <x:v>2</x:v>
      </x:c>
      <x:c r="N18" s="32" t="str">
        <x:v>Product/platform</x:v>
      </x:c>
      <x:c r="O18" s="32" t="str">
        <x:v>Indeterminate</x:v>
      </x:c>
      <x:c r="P18" s="32" t="str">
        <x:v>None</x:v>
      </x:c>
      <x:c r="Q18" s="32"/>
      <x:c r="R18" s="32" t="str">
        <x:v>2026-10-30</x:v>
      </x:c>
      <x:c r="S18" s="32" t="str">
        <x:v>https://investor.kingdee.com/static/temp/cw_2024ENVIRONMENTALSOCIALANDGOVERNANCEREPORT_1745457091460.pdf</x:v>
      </x:c>
      <x:c r="T18" s="32" t="str">
        <x:v>https://www.kingdee.com/global/trust-center/compliance/</x:v>
      </x:c>
      <x:c r="U18" s="32" t="str">
        <x:v>Corrected after re-checking the 2024 ESG certification table: ISO/IEC 27001 validity is stated as ending 30 Oct 2026. Therefore it remains current at the 2026-09-14 audit cutoff; earlier 28 Aug 2026 date referred to another standard/certification line.</x:v>
      </x:c>
      <x:c r="V18" s="32" t="str">
        <x:v>Yes</x:v>
      </x:c>
    </x:row>
    <x:row r="19">
      <x:c r="A19" s="32" t="n">
        <x:v>18</x:v>
      </x:c>
      <x:c r="B19" s="32" t="str">
        <x:v>Shanghai Baosight Software Co., Ltd. (宝信软件, 600845)</x:v>
      </x:c>
      <x:c r="C19" s="32" t="str">
        <x:v>China</x:v>
      </x:c>
      <x:c r="D19" s="32" t="str">
        <x:v>Industrial Software / ICT</x:v>
      </x:c>
      <x:c r="E19" s="32" t="str">
        <x:v>Unverifiable</x:v>
      </x:c>
      <x:c r="F19" s="32" t="str">
        <x:v>No qualifying current certificate located</x:v>
      </x:c>
      <x:c r="G19" s="32" t="str">
        <x:v>D</x:v>
      </x:c>
      <x:c r="H19" s="32" t="str">
        <x:v>Listed parent</x:v>
      </x:c>
      <x:c r="I19" s="32" t="str"/>
      <x:c r="J19" s="32" t="str"/>
      <x:c r="K19" s="32" t="str"/>
      <x:c r="L19" s="32" t="str">
        <x:v>No current certificate-level evidence sufficient for parent-level coding.</x:v>
      </x:c>
      <x:c r="M19" s="32" t="n">
        <x:v>0</x:v>
      </x:c>
      <x:c r="N19" s="32" t="str">
        <x:v>Unknown</x:v>
      </x:c>
      <x:c r="O19" s="32" t="str">
        <x:v>Indeterminate</x:v>
      </x:c>
      <x:c r="P19" s="32" t="str">
        <x:v>None</x:v>
      </x:c>
      <x:c r="Q19" s="32" t="str"/>
      <x:c r="R19" s="32" t="str"/>
      <x:c r="S19" s="32" t="str"/>
      <x:c r="T19" s="32" t="str"/>
      <x:c r="U19" s="32" t="str">
        <x:v>Retain as missing-data case.</x:v>
      </x:c>
      <x:c r="V19" s="32" t="str">
        <x:v>No</x:v>
      </x:c>
    </x:row>
    <x:row r="20">
      <x:c r="A20" s="32" t="n">
        <x:v>19</x:v>
      </x:c>
      <x:c r="B20" s="32" t="str">
        <x:v>Dawning Information Industry Co., Ltd. / Sugon (中科曙光, 603019)</x:v>
      </x:c>
      <x:c r="C20" s="32" t="str">
        <x:v>China</x:v>
      </x:c>
      <x:c r="D20" s="32" t="str">
        <x:v>High-performance Computing / ICT</x:v>
      </x:c>
      <x:c r="E20" s="32" t="str">
        <x:v>Certified (Publicly Disclosed; Scope Unverified)</x:v>
      </x:c>
      <x:c r="F20" s="32" t="str">
        <x:v>Certified claim; scope metadata unavailable</x:v>
      </x:c>
      <x:c r="G20" s="32" t="str">
        <x:v>B</x:v>
      </x:c>
      <x:c r="H20" s="32" t="str">
        <x:v>Listed legal entity</x:v>
      </x:c>
      <x:c r="I20" s="32" t="str"/>
      <x:c r="J20" s="32" t="str"/>
      <x:c r="K20" s="32" t="str"/>
      <x:c r="L20" s="32" t="str">
        <x:v>Sugon officially lists ISO/IEC 27001 information-security management system certification; exact certificate scope/validity not established.</x:v>
      </x:c>
      <x:c r="M20" s="32" t="n">
        <x:v>1</x:v>
      </x:c>
      <x:c r="N20" s="32" t="str">
        <x:v>Unknown</x:v>
      </x:c>
      <x:c r="O20" s="32" t="str">
        <x:v>Indeterminate</x:v>
      </x:c>
      <x:c r="P20" s="32" t="str">
        <x:v>None</x:v>
      </x:c>
      <x:c r="Q20" s="32" t="str"/>
      <x:c r="R20" s="32" t="str"/>
      <x:c r="S20" s="32" t="str"/>
      <x:c r="T20" s="32" t="str">
        <x:v>https://www.sugon.com/en/about/quality.shtml</x:v>
      </x:c>
      <x:c r="U20" s="32" t="str">
        <x:v>Use as certification claim, not as evidence of a particular scope topology.</x:v>
      </x:c>
      <x:c r="V20" s="32" t="str">
        <x:v>Conditional</x:v>
      </x:c>
    </x:row>
    <x:row r="21">
      <x:c r="A21" s="32" t="n">
        <x:v>20</x:v>
      </x:c>
      <x:c r="B21" s="32" t="str">
        <x:v>Inspur Electronic Information Industry Co., Ltd. (浪潮信息, 000977)</x:v>
      </x:c>
      <x:c r="C21" s="32" t="str">
        <x:v>China</x:v>
      </x:c>
      <x:c r="D21" s="32" t="str">
        <x:v>ICT / Cloud / Enterprise Software</x:v>
      </x:c>
      <x:c r="E21" s="32" t="str">
        <x:v>Unverifiable</x:v>
      </x:c>
      <x:c r="F21" s="32" t="str">
        <x:v>Parent-level not established; cloud/business-unit certification evidence</x:v>
      </x:c>
      <x:c r="G21" s="32" t="str">
        <x:v>C</x:v>
      </x:c>
      <x:c r="H21" s="32" t="str">
        <x:v>Cloud/business unit</x:v>
      </x:c>
      <x:c r="I21" s="32" t="str"/>
      <x:c r="J21" s="32" t="str"/>
      <x:c r="K21" s="32" t="str"/>
      <x:c r="L21" s="32" t="str">
        <x:v>Inspur public materials identify ISO/IEC 27001 for its cloud/business services; no parent-level certificate metadata established.</x:v>
      </x:c>
      <x:c r="M21" s="32" t="n">
        <x:v>1</x:v>
      </x:c>
      <x:c r="N21" s="32" t="str">
        <x:v>Business unit/product-service</x:v>
      </x:c>
      <x:c r="O21" s="32" t="str">
        <x:v>Indeterminate</x:v>
      </x:c>
      <x:c r="P21" s="32" t="str">
        <x:v>None</x:v>
      </x:c>
      <x:c r="Q21" s="32" t="str"/>
      <x:c r="R21" s="32" t="str"/>
      <x:c r="S21" s="32" t="str"/>
      <x:c r="T21" s="32" t="str"/>
      <x:c r="U21" s="32" t="str">
        <x:v>Do not promote business/service-unit certification to listed parent.</x:v>
      </x:c>
      <x:c r="V21" s="32" t="str">
        <x:v>Conditional</x:v>
      </x:c>
    </x:row>
    <x:row r="22">
      <x:c r="A22" s="32" t="n">
        <x:v>21</x:v>
      </x:c>
      <x:c r="B22" s="32" t="str">
        <x:v>Senetas Corporation Limited (ASX: SEN)</x:v>
      </x:c>
      <x:c r="C22" s="32" t="str">
        <x:v>Australia</x:v>
      </x:c>
      <x:c r="D22" s="32" t="str">
        <x:v>Cybersecurity / Encryption</x:v>
      </x:c>
      <x:c r="E22" s="32" t="str">
        <x:v>Unverifiable</x:v>
      </x:c>
      <x:c r="F22" s="32" t="str">
        <x:v>No qualifying public ISO/IEC 27001 record located</x:v>
      </x:c>
      <x:c r="G22" s="32" t="str">
        <x:v>D</x:v>
      </x:c>
      <x:c r="H22" s="32" t="str">
        <x:v>Listed parent</x:v>
      </x:c>
      <x:c r="I22" s="32" t="str"/>
      <x:c r="J22" s="32" t="str"/>
      <x:c r="K22" s="32" t="str"/>
      <x:c r="L22" s="32" t="str">
        <x:v>No qualifying ISO/IEC 27001 certification evidence located in this audit.</x:v>
      </x:c>
      <x:c r="M22" s="32" t="n">
        <x:v>0</x:v>
      </x:c>
      <x:c r="N22" s="32" t="str">
        <x:v>Unknown</x:v>
      </x:c>
      <x:c r="O22" s="32" t="str">
        <x:v>Indeterminate</x:v>
      </x:c>
      <x:c r="P22" s="32" t="str">
        <x:v>None</x:v>
      </x:c>
      <x:c r="Q22" s="32" t="str"/>
      <x:c r="R22" s="32" t="str"/>
      <x:c r="S22" s="32" t="str">
        <x:v>https://senetas.com/compliance-certifications/</x:v>
      </x:c>
      <x:c r="T22" s="32" t="str"/>
      <x:c r="U22" s="32" t="str">
        <x:v>Official page reviewed for other certifications; ISO 27001 not established.</x:v>
      </x:c>
      <x:c r="V22" s="32" t="str">
        <x:v>No</x:v>
      </x:c>
    </x:row>
    <x:row r="23">
      <x:c r="A23" s="32" t="n">
        <x:v>22</x:v>
      </x:c>
      <x:c r="B23" s="32" t="str">
        <x:v>Codan Limited (ASX: CDA)</x:v>
      </x:c>
      <x:c r="C23" s="32" t="str">
        <x:v>Australia</x:v>
      </x:c>
      <x:c r="D23" s="32" t="str">
        <x:v>Defence / Radio Communications</x:v>
      </x:c>
      <x:c r="E23" s="32" t="str">
        <x:v>Certified (Subsidiary Only)</x:v>
      </x:c>
      <x:c r="F23" s="32" t="str">
        <x:v>Subsidiary certified; parent not established</x:v>
      </x:c>
      <x:c r="G23" s="32" t="str">
        <x:v>A</x:v>
      </x:c>
      <x:c r="H23" s="32" t="str">
        <x:v>Subsidiary (Zetron Limited)</x:v>
      </x:c>
      <x:c r="I23" s="32" t="str">
        <x:v>IS 808726</x:v>
      </x:c>
      <x:c r="J23" s="32" t="str">
        <x:v>BSI</x:v>
      </x:c>
      <x:c r="K23" s="32" t="str"/>
      <x:c r="L23" s="32" t="str">
        <x:v>Zetron Limited ISMS registered to ISO/IEC 27001:2022; parent Codan Limited not shown as certificate holder.</x:v>
      </x:c>
      <x:c r="M23" s="32" t="n">
        <x:v>3</x:v>
      </x:c>
      <x:c r="N23" s="32" t="str">
        <x:v>Subsidiary/legal entity</x:v>
      </x:c>
      <x:c r="O23" s="32" t="str">
        <x:v>Indeterminate</x:v>
      </x:c>
      <x:c r="P23" s="32" t="str">
        <x:v>None</x:v>
      </x:c>
      <x:c r="Q23" s="32" t="str"/>
      <x:c r="R23" s="32" t="str"/>
      <x:c r="S23" s="32" t="str"/>
      <x:c r="T23" s="32" t="str"/>
      <x:c r="U23" s="32" t="str">
        <x:v>Do not attribute Zetron certificate to Codan parent.</x:v>
      </x:c>
      <x:c r="V23" s="32" t="str">
        <x:v>Yes</x:v>
      </x:c>
    </x:row>
    <x:row r="24">
      <x:c r="A24" s="32" t="n">
        <x:v>23</x:v>
      </x:c>
      <x:c r="B24" s="32" t="str">
        <x:v>AVA Risk Group Limited (ASX: AVA)</x:v>
      </x:c>
      <x:c r="C24" s="32" t="str">
        <x:v>Australia</x:v>
      </x:c>
      <x:c r="D24" s="32" t="str">
        <x:v>Security Technology</x:v>
      </x:c>
      <x:c r="E24" s="32" t="str">
        <x:v>Unverifiable</x:v>
      </x:c>
      <x:c r="F24" s="32" t="str">
        <x:v>No qualifying current parent-level certificate located</x:v>
      </x:c>
      <x:c r="G24" s="32" t="str">
        <x:v>D</x:v>
      </x:c>
      <x:c r="H24" s="32" t="str">
        <x:v>Listed parent</x:v>
      </x:c>
      <x:c r="I24" s="32" t="str"/>
      <x:c r="J24" s="32" t="str"/>
      <x:c r="K24" s="32" t="str"/>
      <x:c r="L24" s="32" t="str">
        <x:v>No qualifying current parent-level ISO/IEC 27001 evidence located.</x:v>
      </x:c>
      <x:c r="M24" s="32" t="n">
        <x:v>0</x:v>
      </x:c>
      <x:c r="N24" s="32" t="str">
        <x:v>Unknown</x:v>
      </x:c>
      <x:c r="O24" s="32" t="str">
        <x:v>Indeterminate</x:v>
      </x:c>
      <x:c r="P24" s="32" t="str">
        <x:v>None</x:v>
      </x:c>
      <x:c r="Q24" s="32" t="str"/>
      <x:c r="R24" s="32" t="str"/>
      <x:c r="S24" s="32" t="str"/>
      <x:c r="T24" s="32" t="str"/>
      <x:c r="U24" s="32" t="str">
        <x:v>Missing-data case.</x:v>
      </x:c>
      <x:c r="V24" s="32" t="str">
        <x:v>No</x:v>
      </x:c>
    </x:row>
    <x:row r="25">
      <x:c r="A25" s="32" t="n">
        <x:v>24</x:v>
      </x:c>
      <x:c r="B25" s="32" t="str">
        <x:v>DroneShield Limited (ASX: DRO)</x:v>
      </x:c>
      <x:c r="C25" s="32" t="str">
        <x:v>Australia</x:v>
      </x:c>
      <x:c r="D25" s="32" t="str">
        <x:v>Drone Security Technology</x:v>
      </x:c>
      <x:c r="E25" s="32" t="str">
        <x:v>Certified (Corporate Claim); Metadata Unverified</x:v>
      </x:c>
      <x:c r="F25" s="32" t="str">
        <x:v>Current certified claim; scope described, certificate metadata incomplete</x:v>
      </x:c>
      <x:c r="G25" s="32" t="str">
        <x:v>B</x:v>
      </x:c>
      <x:c r="H25" s="32" t="str">
        <x:v>Listed legal entity</x:v>
      </x:c>
      <x:c r="I25" s="32" t="str"/>
      <x:c r="J25" s="32" t="str"/>
      <x:c r="K25" s="32" t="str"/>
      <x:c r="L25" s="32" t="str">
        <x:v>ISO/IEC 27001 certified; public company page says scope covers design, development and support of DroneShield counter-UAS technologies and associated information systems.</x:v>
      </x:c>
      <x:c r="M25" s="32" t="n">
        <x:v>2</x:v>
      </x:c>
      <x:c r="N25" s="32" t="str">
        <x:v>Product/service</x:v>
      </x:c>
      <x:c r="O25" s="32" t="str">
        <x:v>Indeterminate</x:v>
      </x:c>
      <x:c r="P25" s="32" t="str">
        <x:v>None</x:v>
      </x:c>
      <x:c r="Q25" s="32" t="str"/>
      <x:c r="R25" s="32" t="str"/>
      <x:c r="S25" s="32" t="str">
        <x:v>https://www.droneshield.com/company/security-and-compliance</x:v>
      </x:c>
      <x:c r="T25" s="32" t="str"/>
      <x:c r="U25" s="32" t="str">
        <x:v>Scope statement is useful, but CB/certificate ID/expiry not located.</x:v>
      </x:c>
      <x:c r="V25" s="32" t="str">
        <x:v>Yes</x:v>
      </x:c>
    </x:row>
    <x:row r="26">
      <x:c r="A26" s="32" t="n">
        <x:v>25</x:v>
      </x:c>
      <x:c r="B26" s="32" t="str">
        <x:v>Pointerra Limited (ASX: 3DP)</x:v>
      </x:c>
      <x:c r="C26" s="32" t="str">
        <x:v>Australia</x:v>
      </x:c>
      <x:c r="D26" s="32" t="str">
        <x:v>Geospatial / SaaS</x:v>
      </x:c>
      <x:c r="E26" s="32" t="str">
        <x:v>Unverifiable</x:v>
      </x:c>
      <x:c r="F26" s="32" t="str">
        <x:v>No qualifying current parent-level certificate located</x:v>
      </x:c>
      <x:c r="G26" s="32" t="str">
        <x:v>D</x:v>
      </x:c>
      <x:c r="H26" s="32" t="str">
        <x:v>Listed parent</x:v>
      </x:c>
      <x:c r="I26" s="32" t="str"/>
      <x:c r="J26" s="32" t="str"/>
      <x:c r="K26" s="32" t="str"/>
      <x:c r="L26" s="32" t="str">
        <x:v>No qualifying current parent-level ISO/IEC 27001 evidence located.</x:v>
      </x:c>
      <x:c r="M26" s="32" t="n">
        <x:v>0</x:v>
      </x:c>
      <x:c r="N26" s="32" t="str">
        <x:v>Unknown</x:v>
      </x:c>
      <x:c r="O26" s="32" t="str">
        <x:v>Indeterminate</x:v>
      </x:c>
      <x:c r="P26" s="32" t="str">
        <x:v>None</x:v>
      </x:c>
      <x:c r="Q26" s="32" t="str"/>
      <x:c r="R26" s="32" t="str"/>
      <x:c r="S26" s="32" t="str"/>
      <x:c r="T26" s="32" t="str"/>
      <x:c r="U26" s="32" t="str">
        <x:v>Missing-data case.</x:v>
      </x:c>
      <x:c r="V26" s="32" t="str">
        <x:v>No</x:v>
      </x:c>
    </x:row>
    <x:row r="27">
      <x:c r="A27" s="32" t="n">
        <x:v>26</x:v>
      </x:c>
      <x:c r="B27" s="32" t="str">
        <x:v>Hangzhou Hikvision Digital Technology Co., Ltd. (海康威视, 002415)</x:v>
      </x:c>
      <x:c r="C27" s="32" t="str">
        <x:v>China</x:v>
      </x:c>
      <x:c r="D27" s="32" t="str">
        <x:v>Video Surveillance / AI</x:v>
      </x:c>
      <x:c r="E27" s="32" t="str">
        <x:v>Unverifiable</x:v>
      </x:c>
      <x:c r="F27" s="32" t="str">
        <x:v>Current certified; certificate-linked evidence</x:v>
      </x:c>
      <x:c r="G27" s="32" t="str">
        <x:v>A</x:v>
      </x:c>
      <x:c r="H27" s="32" t="str">
        <x:v>Listed legal entity</x:v>
      </x:c>
      <x:c r="I27" s="32" t="str">
        <x:v>IS 755587 (associated reference)</x:v>
      </x:c>
      <x:c r="J27" s="32" t="str"/>
      <x:c r="K27" s="32" t="str"/>
      <x:c r="L27" s="32" t="str">
        <x:v>Official Hikvision certificate material references ISO/IEC 27001 certificate IS 755587; associated scope concerns design, development, operation and technical support of intelligent security products.</x:v>
      </x:c>
      <x:c r="M27" s="32" t="n">
        <x:v>2</x:v>
      </x:c>
      <x:c r="N27" s="32" t="str">
        <x:v>Product/service</x:v>
      </x:c>
      <x:c r="O27" s="32" t="str">
        <x:v>Indeterminate</x:v>
      </x:c>
      <x:c r="P27" s="32" t="str">
        <x:v>None</x:v>
      </x:c>
      <x:c r="Q27" s="32" t="str"/>
      <x:c r="R27" s="32" t="str"/>
      <x:c r="S27" s="32" t="str"/>
      <x:c r="T27" s="32" t="str"/>
      <x:c r="U27" s="32" t="str">
        <x:v>Certificate linkage is strong, but exact ISO 27001 expiry was not independently extracted from the source.</x:v>
      </x:c>
      <x:c r="V27" s="32" t="str">
        <x:v>Yes</x:v>
      </x:c>
    </x:row>
    <x:row r="28">
      <x:c r="A28" s="32" t="n">
        <x:v>27</x:v>
      </x:c>
      <x:c r="B28" s="32" t="str">
        <x:v>Zhejiang Dahua Technology Co., Ltd. (大华股份, 002236)</x:v>
      </x:c>
      <x:c r="C28" s="32" t="str">
        <x:v>China</x:v>
      </x:c>
      <x:c r="D28" s="32" t="str">
        <x:v>Video Surveillance / AI</x:v>
      </x:c>
      <x:c r="E28" s="32" t="str">
        <x:v>Certified (Public Evidence; Exact Scope Unverified)</x:v>
      </x:c>
      <x:c r="F28" s="32" t="str">
        <x:v>Current certified claim; exact scope/metadata incomplete</x:v>
      </x:c>
      <x:c r="G28" s="32" t="str">
        <x:v>B</x:v>
      </x:c>
      <x:c r="H28" s="32" t="str">
        <x:v>Listed legal entity</x:v>
      </x:c>
      <x:c r="I28" s="32" t="str"/>
      <x:c r="J28" s="32" t="str"/>
      <x:c r="K28" s="32" t="str"/>
      <x:c r="L28" s="32" t="str">
        <x:v>Dahua states its information-security and cloud-security management systems have been audited against ISO/IEC 27001; exact certificate holder/scope metadata not established.</x:v>
      </x:c>
      <x:c r="M28" s="32" t="n">
        <x:v>1</x:v>
      </x:c>
      <x:c r="N28" s="32" t="str">
        <x:v>Unknown/defined system</x:v>
      </x:c>
      <x:c r="O28" s="32" t="str">
        <x:v>Indeterminate</x:v>
      </x:c>
      <x:c r="P28" s="32" t="str">
        <x:v>None</x:v>
      </x:c>
      <x:c r="Q28" s="32" t="str"/>
      <x:c r="R28" s="32" t="str"/>
      <x:c r="S28" s="32" t="str"/>
      <x:c r="T28" s="32" t="str"/>
      <x:c r="U28" s="32" t="str">
        <x:v>Do not label ring-fenced or comprehensive without certificate scope.</x:v>
      </x:c>
      <x:c r="V28" s="32" t="str">
        <x:v>Conditional</x:v>
      </x:c>
    </x:row>
    <x:row r="29">
      <x:c r="A29" s="32" t="n">
        <x:v>28</x:v>
      </x:c>
      <x:c r="B29" s="32" t="str">
        <x:v>iFLYTEK Co., Ltd. (科大讯飞, 002230)</x:v>
      </x:c>
      <x:c r="C29" s="32" t="str">
        <x:v>China</x:v>
      </x:c>
      <x:c r="D29" s="32" t="str">
        <x:v>AI / Software</x:v>
      </x:c>
      <x:c r="E29" s="32" t="str">
        <x:v>Unverifiable</x:v>
      </x:c>
      <x:c r="F29" s="32" t="str">
        <x:v>Product-level ISO 27001 claim; parent certification not established</x:v>
      </x:c>
      <x:c r="G29" s="32" t="str">
        <x:v>C</x:v>
      </x:c>
      <x:c r="H29" s="32" t="str">
        <x:v>Product/business claim</x:v>
      </x:c>
      <x:c r="I29" s="32" t="str"/>
      <x:c r="J29" s="32" t="str"/>
      <x:c r="K29" s="32" t="str"/>
      <x:c r="L29" s="32" t="str">
        <x:v>Official iFLYTEK product page states ISO 27001 &amp; ISO 27701 certified for the product/service context; this is not sufficient to attribute certification to the listed parent company.</x:v>
      </x:c>
      <x:c r="M29" s="32" t="n">
        <x:v>1</x:v>
      </x:c>
      <x:c r="N29" s="32" t="str">
        <x:v>Product/service</x:v>
      </x:c>
      <x:c r="O29" s="32" t="str">
        <x:v>Indeterminate</x:v>
      </x:c>
      <x:c r="P29" s="32" t="str">
        <x:v>None</x:v>
      </x:c>
      <x:c r="Q29" s="32" t="str"/>
      <x:c r="R29" s="32" t="str"/>
      <x:c r="S29" s="32" t="str">
        <x:v>https://store.iflytek.com/products/iflytek-ai-translation-earbuds</x:v>
      </x:c>
      <x:c r="T29" s="32" t="str"/>
      <x:c r="U29" s="32" t="str">
        <x:v>Important entity-alignment limitation.</x:v>
      </x:c>
      <x:c r="V29" s="32" t="str">
        <x:v>Conditional</x:v>
      </x:c>
    </x:row>
    <x:row r="30">
      <x:c r="A30" s="32" t="n">
        <x:v>29</x:v>
      </x:c>
      <x:c r="B30" s="32" t="str">
        <x:v>Unisplendour Corporation Limited (紫光股份, 000938)</x:v>
      </x:c>
      <x:c r="C30" s="32" t="str">
        <x:v>China</x:v>
      </x:c>
      <x:c r="D30" s="32" t="str">
        <x:v>ICT / Cloud</x:v>
      </x:c>
      <x:c r="E30" s="32" t="str">
        <x:v>Major Discrepancy</x:v>
      </x:c>
      <x:c r="F30" s="32" t="str">
        <x:v>Parent-level not established; related-entity evidence only</x:v>
      </x:c>
      <x:c r="G30" s="32" t="str">
        <x:v>C</x:v>
      </x:c>
      <x:c r="H30" s="32" t="str">
        <x:v>Related entity/subsidiary</x:v>
      </x:c>
      <x:c r="I30" s="32" t="str"/>
      <x:c r="J30" s="32" t="str"/>
      <x:c r="K30" s="32" t="str"/>
      <x:c r="L30" s="32" t="str">
        <x:v>H3C-related ISO evidence cannot be attributed automatically to Unisplendour parent.</x:v>
      </x:c>
      <x:c r="M30" s="32" t="n">
        <x:v>1</x:v>
      </x:c>
      <x:c r="N30" s="32" t="str">
        <x:v>Subsidiary/related entity</x:v>
      </x:c>
      <x:c r="O30" s="32" t="str">
        <x:v>Indeterminate</x:v>
      </x:c>
      <x:c r="P30" s="32" t="str">
        <x:v>None</x:v>
      </x:c>
      <x:c r="Q30" s="32" t="str"/>
      <x:c r="R30" s="32" t="str"/>
      <x:c r="S30" s="32" t="str"/>
      <x:c r="T30" s="32" t="str"/>
      <x:c r="U30" s="32" t="str">
        <x:v>Retain as discrepancy rather than force a parent certification status.</x:v>
      </x:c>
      <x:c r="V30" s="32" t="str">
        <x:v>Conditional</x:v>
      </x:c>
    </x:row>
    <x:row r="31">
      <x:c r="A31" s="32" t="n">
        <x:v>30</x:v>
      </x:c>
      <x:c r="B31" s="32" t="str">
        <x:v>ZTE Corporation (中兴通讯, 000063)</x:v>
      </x:c>
      <x:c r="C31" s="32" t="str">
        <x:v>China</x:v>
      </x:c>
      <x:c r="D31" s="32" t="str">
        <x:v>Telecommunications / ICT</x:v>
      </x:c>
      <x:c r="E31" s="32" t="str">
        <x:v>Unverifiable</x:v>
      </x:c>
      <x:c r="F31" s="32" t="str">
        <x:v>Current certified</x:v>
      </x:c>
      <x:c r="G31" s="32" t="str">
        <x:v>B</x:v>
      </x:c>
      <x:c r="H31" s="32" t="str">
        <x:v>Listed parent / global subsidiaries</x:v>
      </x:c>
      <x:c r="I31" s="32" t="str"/>
      <x:c r="J31" s="32" t="str"/>
      <x:c r="K31" s="32" t="str"/>
      <x:c r="L31" s="32" t="str">
        <x:v>ZTE states it has ISO/IEC 27001 certification; 2025 sustainability reporting states the scope covers all products and services, with multiple certificates across ZTE and global subsidiaries.</x:v>
      </x:c>
      <x:c r="M31" s="32" t="n">
        <x:v>2</x:v>
      </x:c>
      <x:c r="N31" s="32" t="str">
        <x:v>Core-business comprehensive</x:v>
      </x:c>
      <x:c r="O31" s="32" t="str">
        <x:v>No</x:v>
      </x:c>
      <x:c r="P31" s="32" t="str">
        <x:v>None</x:v>
      </x:c>
      <x:c r="Q31" s="32" t="str">
        <x:v>2005</x:v>
      </x:c>
      <x:c r="R31" s="32" t="str"/>
      <x:c r="S31" s="32" t="str">
        <x:v>https://www.zte.com.cn/global/about/corporate-information/assurance-and-certifications</x:v>
      </x:c>
      <x:c r="T31" s="32" t="str"/>
      <x:c r="U31" s="32" t="str">
        <x:v>Corrected from Unverifiable. Parent-level company disclosure supports current certification claim; exact certificate metadata not reproduced.</x:v>
      </x:c>
      <x:c r="V31" s="32" t="str">
        <x:v>Yes</x:v>
      </x:c>
    </x:row>
    <x:row r="32">
      <x:c r="A32" s="32" t="n">
        <x:v>31</x:v>
      </x:c>
      <x:c r="B32" s="32" t="str">
        <x:v>Sovereign Cloud Holdings Limited / AUCloud (ASX: SOV)</x:v>
      </x:c>
      <x:c r="C32" s="32" t="str">
        <x:v>Australia</x:v>
      </x:c>
      <x:c r="D32" s="32" t="str">
        <x:v>Sovereign Cloud / Data Centres</x:v>
      </x:c>
      <x:c r="E32" s="32" t="str">
        <x:v>Unverifiable</x:v>
      </x:c>
      <x:c r="F32" s="32" t="str">
        <x:v>Operating-entity certified; listed parent group scope not established</x:v>
      </x:c>
      <x:c r="G32" s="32" t="str">
        <x:v>B</x:v>
      </x:c>
      <x:c r="H32" s="32" t="str">
        <x:v>AUCloud operating entity / business</x:v>
      </x:c>
      <x:c r="I32" s="32" t="str"/>
      <x:c r="J32" s="32" t="str"/>
      <x:c r="K32" s="32" t="str"/>
      <x:c r="L32" s="32" t="str">
        <x:v>AUCloud publicly states ISO/IEC 27001 assessed and certified; this establishes operating-business evidence rather than blanket Sovereign Cloud Holdings group certification.</x:v>
      </x:c>
      <x:c r="M32" s="32" t="n">
        <x:v>2</x:v>
      </x:c>
      <x:c r="N32" s="32" t="str">
        <x:v>Business/operating entity</x:v>
      </x:c>
      <x:c r="O32" s="32" t="str">
        <x:v>Indeterminate</x:v>
      </x:c>
      <x:c r="P32" s="32" t="str">
        <x:v>None</x:v>
      </x:c>
      <x:c r="Q32" s="32" t="str"/>
      <x:c r="R32" s="32" t="str"/>
      <x:c r="S32" s="32" t="str"/>
      <x:c r="T32" s="32" t="str"/>
      <x:c r="U32" s="32" t="str">
        <x:v>Do not collapse AUCloud operating-business certification into parent group certification.</x:v>
      </x:c>
      <x:c r="V32" s="32" t="str">
        <x:v>Yes</x:v>
      </x:c>
    </x:row>
    <x:row r="33">
      <x:c r="A33" s="32" t="n">
        <x:v>32</x:v>
      </x:c>
      <x:c r="B33" s="32" t="str">
        <x:v>archTIS Limited (ASX: ATC)</x:v>
      </x:c>
      <x:c r="C33" s="32" t="str">
        <x:v>Australia</x:v>
      </x:c>
      <x:c r="D33" s="32" t="str">
        <x:v>Information Governance / SaaS</x:v>
      </x:c>
      <x:c r="E33" s="32" t="str">
        <x:v>Unverifiable</x:v>
      </x:c>
      <x:c r="F33" s="32" t="str">
        <x:v>Current parent certification not established</x:v>
      </x:c>
      <x:c r="G33" s="32" t="str">
        <x:v>C</x:v>
      </x:c>
      <x:c r="H33" s="32" t="str">
        <x:v>Listed parent</x:v>
      </x:c>
      <x:c r="I33" s="32" t="str"/>
      <x:c r="J33" s="32" t="str"/>
      <x:c r="K33" s="32" t="str"/>
      <x:c r="L33" s="32" t="str">
        <x:v>Historical/public compliance references exist, but no qualifying current certificate-level evidence was located.</x:v>
      </x:c>
      <x:c r="M33" s="32" t="n">
        <x:v>1</x:v>
      </x:c>
      <x:c r="N33" s="32" t="str">
        <x:v>Unknown</x:v>
      </x:c>
      <x:c r="O33" s="32" t="str">
        <x:v>Indeterminate</x:v>
      </x:c>
      <x:c r="P33" s="32" t="str">
        <x:v>None</x:v>
      </x:c>
      <x:c r="Q33" s="32" t="str"/>
      <x:c r="R33" s="32" t="str"/>
      <x:c r="S33" s="32" t="str"/>
      <x:c r="T33" s="32" t="str"/>
      <x:c r="U33" s="32" t="str">
        <x:v>‘Compliant with ISO 27001’ is not treated as equivalent to certification without certificate evidence.</x:v>
      </x:c>
      <x:c r="V33" s="32" t="str">
        <x:v>Conditional</x:v>
      </x:c>
    </x:row>
    <x:row r="34">
      <x:c r="A34" s="32" t="n">
        <x:v>33</x:v>
      </x:c>
      <x:c r="B34" s="32" t="str">
        <x:v>FirstWave Cloud Technology Limited (ASX: FCT)</x:v>
      </x:c>
      <x:c r="C34" s="32" t="str">
        <x:v>Australia</x:v>
      </x:c>
      <x:c r="D34" s="32" t="str">
        <x:v>Cloud Technology</x:v>
      </x:c>
      <x:c r="E34" s="32" t="str">
        <x:v>Unverifiable</x:v>
      </x:c>
      <x:c r="F34" s="32" t="str">
        <x:v>Current certified</x:v>
      </x:c>
      <x:c r="G34" s="32" t="str">
        <x:v>B</x:v>
      </x:c>
      <x:c r="H34" s="32" t="str">
        <x:v>Listed legal entity</x:v>
      </x:c>
      <x:c r="I34" s="32" t="str"/>
      <x:c r="J34" s="32" t="str">
        <x:v>Not independently established</x:v>
      </x:c>
      <x:c r="K34" s="32" t="str">
        <x:v>JAS-ANZ accreditation disclosed on company site</x:v>
      </x:c>
      <x:c r="L34" s="32" t="str">
        <x:v>FirstWave publicly states ISO/IEC 27001 certification; exact certificate scope/ID not reproduced in the public source reviewed.</x:v>
      </x:c>
      <x:c r="M34" s="32" t="n">
        <x:v>1</x:v>
      </x:c>
      <x:c r="N34" s="32" t="str">
        <x:v>Unknown/defined corporate scope</x:v>
      </x:c>
      <x:c r="O34" s="32" t="str">
        <x:v>Indeterminate</x:v>
      </x:c>
      <x:c r="P34" s="32" t="str">
        <x:v>None</x:v>
      </x:c>
      <x:c r="Q34" s="32" t="str"/>
      <x:c r="R34" s="32" t="str"/>
      <x:c r="S34" s="32" t="str">
        <x:v>https://www.firstwavecloud.com/about-us/</x:v>
      </x:c>
      <x:c r="T34" s="32" t="str">
        <x:v>https://www.firstwavecloud.com/2025/08/20/firstwave-achieves-iso-27001-and-iso-9001-certification/</x:v>
      </x:c>
      <x:c r="U34" s="32" t="str">
        <x:v>Corrected from Unverifiable based on 2025 public first-party certification announcement.</x:v>
      </x:c>
      <x:c r="V34" s="32" t="str">
        <x:v>Conditional</x:v>
      </x:c>
    </x:row>
    <x:row r="35">
      <x:c r="A35" s="32" t="n">
        <x:v>34</x:v>
      </x:c>
      <x:c r="B35" s="32" t="str">
        <x:v>Prophecy International Holdings Limited (ASX: PRO)</x:v>
      </x:c>
      <x:c r="C35" s="32" t="str">
        <x:v>Australia</x:v>
      </x:c>
      <x:c r="D35" s="32" t="str">
        <x:v>Cybersecurity Software / SaaS</x:v>
      </x:c>
      <x:c r="E35" s="32" t="str">
        <x:v>Unverifiable</x:v>
      </x:c>
      <x:c r="F35" s="32" t="str">
        <x:v>Current certified; product/business-unit scope</x:v>
      </x:c>
      <x:c r="G35" s="32" t="str">
        <x:v>B</x:v>
      </x:c>
      <x:c r="H35" s="32" t="str">
        <x:v>Operating businesses / product scope</x:v>
      </x:c>
      <x:c r="I35" s="32" t="str">
        <x:v>ITGOV40332 (historical)</x:v>
      </x:c>
      <x:c r="J35" s="32" t="str">
        <x:v>SAI Global (historical certificate)</x:v>
      </x:c>
      <x:c r="K35" s="32" t="str"/>
      <x:c r="L35" s="32" t="str">
        <x:v>Historical certificate covered development and delivery of eMite and Snare solutions within Intersect Alliance International Pty Ltd and eMite Pty Ltd; company later disclosed updated ISO 27001 compliance.</x:v>
      </x:c>
      <x:c r="M35" s="32" t="n">
        <x:v>2</x:v>
      </x:c>
      <x:c r="N35" s="32" t="str">
        <x:v>Product/service + business unit</x:v>
      </x:c>
      <x:c r="O35" s="32" t="str">
        <x:v>Indeterminate</x:v>
      </x:c>
      <x:c r="P35" s="32" t="str">
        <x:v>None</x:v>
      </x:c>
      <x:c r="Q35" s="32" t="str">
        <x:v>2021-09-28</x:v>
      </x:c>
      <x:c r="R35" s="32" t="str"/>
      <x:c r="S35" s="32" t="str"/>
      <x:c r="T35" s="32" t="str"/>
      <x:c r="U35" s="32" t="str">
        <x:v>Current updated certification is disclosed, but exact 2025/26 certificate metadata was not established.</x:v>
      </x:c>
      <x:c r="V35" s="32" t="str">
        <x:v>Yes</x:v>
      </x:c>
    </x:row>
    <x:row r="36">
      <x:c r="A36" s="32" t="n">
        <x:v>35</x:v>
      </x:c>
      <x:c r="B36" s="32" t="str">
        <x:v>Tesserent Limited (Thales Australia / former ASX: TNT)</x:v>
      </x:c>
      <x:c r="C36" s="32" t="str">
        <x:v>Australia</x:v>
      </x:c>
      <x:c r="D36" s="32" t="str">
        <x:v>Managed Security Services</x:v>
      </x:c>
      <x:c r="E36" s="32" t="str">
        <x:v>Unverifiable (Historical Entity Issue)</x:v>
      </x:c>
      <x:c r="F36" s="32" t="str">
        <x:v>Current parent-level certification not established</x:v>
      </x:c>
      <x:c r="G36" s="32" t="str">
        <x:v>D</x:v>
      </x:c>
      <x:c r="H36" s="32" t="str">
        <x:v>Historical/changed entity</x:v>
      </x:c>
      <x:c r="I36" s="32" t="str"/>
      <x:c r="J36" s="32" t="str"/>
      <x:c r="K36" s="32" t="str"/>
      <x:c r="L36" s="32" t="str">
        <x:v>No qualifying current certificate tying ISO/IEC 27001 to the present listed parent/legal entity was located.</x:v>
      </x:c>
      <x:c r="M36" s="32" t="n">
        <x:v>0</x:v>
      </x:c>
      <x:c r="N36" s="32" t="str">
        <x:v>Unknown</x:v>
      </x:c>
      <x:c r="O36" s="32" t="str">
        <x:v>Indeterminate</x:v>
      </x:c>
      <x:c r="P36" s="32" t="str">
        <x:v>None</x:v>
      </x:c>
      <x:c r="Q36" s="32" t="str"/>
      <x:c r="R36" s="32" t="str"/>
      <x:c r="S36" s="32" t="str"/>
      <x:c r="T36" s="32" t="str"/>
      <x:c r="U36" s="32" t="str">
        <x:v>Do not infer from Thales Cyber Services ANZ pages that the current entity is itself certified.</x:v>
      </x:c>
      <x:c r="V36" s="32" t="str">
        <x:v>No</x:v>
      </x:c>
    </x:row>
    <x:row r="37">
      <x:c r="A37" s="32" t="n">
        <x:v>36</x:v>
      </x:c>
      <x:c r="B37" s="32" t="str">
        <x:v>Qi-Anxin Technology Group Inc. (奇安信, 688561)</x:v>
      </x:c>
      <x:c r="C37" s="32" t="str">
        <x:v>China</x:v>
      </x:c>
      <x:c r="D37" s="32" t="str">
        <x:v>Cybersecurity / ICT</x:v>
      </x:c>
      <x:c r="E37" s="32" t="str">
        <x:v>Unverifiable</x:v>
      </x:c>
      <x:c r="F37" s="32" t="str">
        <x:v>Subsidiary/business-unit certified; parent level not established</x:v>
      </x:c>
      <x:c r="G37" s="32" t="str">
        <x:v>B</x:v>
      </x:c>
      <x:c r="H37" s="32" t="str">
        <x:v>Subsidiary (QAX SECWORLD)</x:v>
      </x:c>
      <x:c r="I37" s="32" t="str"/>
      <x:c r="J37" s="32" t="str"/>
      <x:c r="K37" s="32" t="str"/>
      <x:c r="L37" s="32" t="str">
        <x:v>Qi-Anxin 2024 ESG identifies QAX SECWORLD as holding ISO/IEC 27001 ISMS certification.</x:v>
      </x:c>
      <x:c r="M37" s="32" t="n">
        <x:v>2</x:v>
      </x:c>
      <x:c r="N37" s="32" t="str">
        <x:v>Subsidiary/legal entity</x:v>
      </x:c>
      <x:c r="O37" s="32" t="str">
        <x:v>Indeterminate</x:v>
      </x:c>
      <x:c r="P37" s="32" t="str">
        <x:v>None</x:v>
      </x:c>
      <x:c r="Q37" s="32" t="str"/>
      <x:c r="R37" s="32" t="str"/>
      <x:c r="S37" s="32" t="str"/>
      <x:c r="T37" s="32" t="str"/>
      <x:c r="U37" s="32" t="str">
        <x:v>Parent Qi-Anxin certification is not inferred.</x:v>
      </x:c>
      <x:c r="V37" s="32" t="str">
        <x:v>Yes</x:v>
      </x:c>
    </x:row>
    <x:row r="38">
      <x:c r="A38" s="32" t="n">
        <x:v>37</x:v>
      </x:c>
      <x:c r="B38" s="32" t="str">
        <x:v>Venustech Group Inc. (启明星辰, 002439)</x:v>
      </x:c>
      <x:c r="C38" s="32" t="str">
        <x:v>China</x:v>
      </x:c>
      <x:c r="D38" s="32" t="str">
        <x:v>Cybersecurity</x:v>
      </x:c>
      <x:c r="E38" s="32" t="str">
        <x:v>Minor Discrepancy</x:v>
      </x:c>
      <x:c r="F38" s="32" t="str">
        <x:v>Certified claim; scope/validity metadata incomplete</x:v>
      </x:c>
      <x:c r="G38" s="32" t="str">
        <x:v>B</x:v>
      </x:c>
      <x:c r="H38" s="32" t="str">
        <x:v>Listed legal entity</x:v>
      </x:c>
      <x:c r="I38" s="32" t="str"/>
      <x:c r="J38" s="32" t="str">
        <x:v>CCRC</x:v>
      </x:c>
      <x:c r="K38" s="32" t="str">
        <x:v>CCRC accreditation / certification system</x:v>
      </x:c>
      <x:c r="L38" s="32" t="str">
        <x:v>Official qualification page identifies an information-security management system certificate issued through China Cybersecurity Review Technology and Certification Center (CCRC).</x:v>
      </x:c>
      <x:c r="M38" s="32" t="n">
        <x:v>1</x:v>
      </x:c>
      <x:c r="N38" s="32" t="str">
        <x:v>Unknown/ISMS</x:v>
      </x:c>
      <x:c r="O38" s="32" t="str">
        <x:v>Indeterminate</x:v>
      </x:c>
      <x:c r="P38" s="32" t="str">
        <x:v>None</x:v>
      </x:c>
      <x:c r="Q38" s="32" t="str"/>
      <x:c r="R38" s="32" t="str"/>
      <x:c r="S38" s="32" t="str"/>
      <x:c r="T38" s="32" t="str"/>
      <x:c r="U38" s="32" t="str">
        <x:v>Corrected CB attribution from earlier unsupported CQC/CEPREI wording; current certificate dates/scope remain incomplete.</x:v>
      </x:c>
      <x:c r="V38" s="32" t="str">
        <x:v>Conditional</x:v>
      </x:c>
    </x:row>
    <x:row r="39">
      <x:c r="A39" s="32" t="n">
        <x:v>38</x:v>
      </x:c>
      <x:c r="B39" s="32" t="str">
        <x:v>Sangfor Technologies Inc. (深信服, 300454)</x:v>
      </x:c>
      <x:c r="C39" s="32" t="str">
        <x:v>China</x:v>
      </x:c>
      <x:c r="D39" s="32" t="str">
        <x:v>Cybersecurity / Cloud</x:v>
      </x:c>
      <x:c r="E39" s="32" t="str">
        <x:v>Certified (Defined Scope; Exact Scope Unverified)</x:v>
      </x:c>
      <x:c r="F39" s="32" t="str">
        <x:v>Current certified — defined GSOC/cloud scope</x:v>
      </x:c>
      <x:c r="G39" s="32" t="str">
        <x:v>A</x:v>
      </x:c>
      <x:c r="H39" s="32" t="str">
        <x:v>GSOC / cloud services</x:v>
      </x:c>
      <x:c r="I39" s="32" t="str"/>
      <x:c r="J39" s="32" t="str">
        <x:v>SIRIM QAS International</x:v>
      </x:c>
      <x:c r="K39" s="32" t="str"/>
      <x:c r="L39" s="32" t="str">
        <x:v>Sangfor GSOC Kuala Lumpur ISO/IEC 27001:2022; scope includes design/development/sales of information-security and cloud products and related O&amp;M/consulting/planning. Separate cloud certification claims also exist.</x:v>
      </x:c>
      <x:c r="M39" s="32" t="n">
        <x:v>3</x:v>
      </x:c>
      <x:c r="N39" s="32" t="str">
        <x:v>Business unit / service</x:v>
      </x:c>
      <x:c r="O39" s="32" t="str">
        <x:v>Indeterminate</x:v>
      </x:c>
      <x:c r="P39" s="32" t="str">
        <x:v>None</x:v>
      </x:c>
      <x:c r="Q39" s="32" t="str">
        <x:v>2024-12-18</x:v>
      </x:c>
      <x:c r="R39" s="32" t="str"/>
      <x:c r="S39" s="32" t="str"/>
      <x:c r="T39" s="32" t="str">
        <x:v>https://www.sangfor.com/news/press-releases/sangfor-technologies-awarded-iso-iec-27001-2022-certification</x:v>
      </x:c>
      <x:c r="U39" s="32" t="str">
        <x:v>Corrected: this is not evidence of a whole-parent comprehensive scope.</x:v>
      </x:c>
      <x:c r="V39" s="32" t="str">
        <x:v>Yes</x:v>
      </x:c>
    </x:row>
    <x:row r="40">
      <x:c r="A40" s="32" t="n">
        <x:v>39</x:v>
      </x:c>
      <x:c r="B40" s="32" t="str">
        <x:v>Topsec Technologies Group Inc. (天融信, 002212)</x:v>
      </x:c>
      <x:c r="C40" s="32" t="str">
        <x:v>China</x:v>
      </x:c>
      <x:c r="D40" s="32" t="str">
        <x:v>Cybersecurity / MSS</x:v>
      </x:c>
      <x:c r="E40" s="32" t="str">
        <x:v>Unverifiable</x:v>
      </x:c>
      <x:c r="F40" s="32" t="str">
        <x:v>No qualifying current parent-level certificate located</x:v>
      </x:c>
      <x:c r="G40" s="32" t="str">
        <x:v>D</x:v>
      </x:c>
      <x:c r="H40" s="32" t="str">
        <x:v>Listed parent</x:v>
      </x:c>
      <x:c r="I40" s="32" t="str"/>
      <x:c r="J40" s="32" t="str"/>
      <x:c r="K40" s="32" t="str"/>
      <x:c r="L40" s="32" t="str">
        <x:v>No qualifying current certificate-level evidence tying ISO/IEC 27001 to the listed Topsec parent was located.</x:v>
      </x:c>
      <x:c r="M40" s="32" t="n">
        <x:v>0</x:v>
      </x:c>
      <x:c r="N40" s="32" t="str">
        <x:v>Unknown</x:v>
      </x:c>
      <x:c r="O40" s="32" t="str">
        <x:v>Indeterminate</x:v>
      </x:c>
      <x:c r="P40" s="32" t="str">
        <x:v>None</x:v>
      </x:c>
      <x:c r="Q40" s="32" t="str"/>
      <x:c r="R40" s="32" t="str"/>
      <x:c r="S40" s="32" t="str"/>
      <x:c r="T40" s="32" t="str"/>
      <x:c r="U40" s="32" t="str">
        <x:v>Generic ISO badges or similarly named overseas entities are not treated as evidence for this parent.</x:v>
      </x:c>
      <x:c r="V40" s="32" t="str">
        <x:v>No</x:v>
      </x:c>
    </x:row>
    <x:row r="41">
      <x:c r="A41" s="32" t="n">
        <x:v>40</x:v>
      </x:c>
      <x:c r="B41" s="32" t="str">
        <x:v>NSFOCUS Technologies Group Co., Ltd. (绿盟科技, 300369)</x:v>
      </x:c>
      <x:c r="C41" s="32" t="str">
        <x:v>China</x:v>
      </x:c>
      <x:c r="D41" s="32" t="str">
        <x:v>Cybersecurity / MSS</x:v>
      </x:c>
      <x:c r="E41" s="32" t="str">
        <x:v>Unverifiable</x:v>
      </x:c>
      <x:c r="F41" s="32" t="str">
        <x:v>No current ISO/IEC 27001 parent-level record established in this audit</x:v>
      </x:c>
      <x:c r="G41" s="32" t="str">
        <x:v>D</x:v>
      </x:c>
      <x:c r="H41" s="32" t="str">
        <x:v>Listed parent</x:v>
      </x:c>
      <x:c r="I41" s="32" t="str"/>
      <x:c r="J41" s="32" t="str"/>
      <x:c r="K41" s="32" t="str"/>
      <x:c r="L41" s="32" t="str">
        <x:v>Current evidence located for ISO 27701, but not sufficient to establish current parent-level ISO/IEC 27001 certification.</x:v>
      </x:c>
      <x:c r="M41" s="32" t="n">
        <x:v>0</x:v>
      </x:c>
      <x:c r="N41" s="32" t="str">
        <x:v>Unknown</x:v>
      </x:c>
      <x:c r="O41" s="32" t="str">
        <x:v>Indeterminate</x:v>
      </x:c>
      <x:c r="P41" s="32" t="str">
        <x:v>None</x:v>
      </x:c>
      <x:c r="Q41" s="32" t="str"/>
      <x:c r="R41" s="32" t="str"/>
      <x:c r="S41" s="32" t="str">
        <x:v>https://nsfocusglobal.com/nsfocus-earns-iso-277012019-privacy-information-management-system-certification/</x:v>
      </x:c>
      <x:c r="T41" s="32" t="str"/>
      <x:c r="U41" s="32" t="str">
        <x:v>Do not substitute ISO 27701 certification for ISO 27001 certification.</x:v>
      </x:c>
      <x:c r="V41" s="32" t="str">
        <x:v>No</x:v>
      </x:c>
    </x:row>
    <x:row r="42">
      <x:c r="A42" s="32" t="n">
        <x:v>41</x:v>
      </x:c>
      <x:c r="B42" s="32" t="str">
        <x:v>WiseTech Global Limited (ASX: WTC)</x:v>
      </x:c>
      <x:c r="C42" s="32" t="str">
        <x:v>Australia</x:v>
      </x:c>
      <x:c r="D42" s="32" t="str">
        <x:v>Logistics Software / SaaS</x:v>
      </x:c>
      <x:c r="E42" s="32" t="str">
        <x:v>Certified (Defined Scope)</x:v>
      </x:c>
      <x:c r="F42" s="32" t="str">
        <x:v>Current certified claim; exact scope metadata incomplete</x:v>
      </x:c>
      <x:c r="G42" s="32" t="str">
        <x:v>B</x:v>
      </x:c>
      <x:c r="H42" s="32" t="str">
        <x:v>Listed legal entity</x:v>
      </x:c>
      <x:c r="I42" s="32" t="str"/>
      <x:c r="J42" s="32" t="str"/>
      <x:c r="K42" s="32" t="str"/>
      <x:c r="L42" s="32" t="str">
        <x:v>WiseTech publicly provides current ISO/IEC 27001 certificate/report access; exact scope text and certificate metadata were not independently extracted in this audit.</x:v>
      </x:c>
      <x:c r="M42" s="32" t="n">
        <x:v>1</x:v>
      </x:c>
      <x:c r="N42" s="32" t="str">
        <x:v>Unknown/defined</x:v>
      </x:c>
      <x:c r="O42" s="32" t="str">
        <x:v>Indeterminate</x:v>
      </x:c>
      <x:c r="P42" s="32" t="str">
        <x:v>None</x:v>
      </x:c>
      <x:c r="Q42" s="32" t="str"/>
      <x:c r="R42" s="32" t="str"/>
      <x:c r="S42" s="32" t="str">
        <x:v>https://www.wisetechglobal.com/sustainability/trust-and-security/</x:v>
      </x:c>
      <x:c r="T42" s="32" t="str"/>
      <x:c r="U42" s="32" t="str">
        <x:v>Original 2019 initial-date claim is not retained without certificate evidence.</x:v>
      </x:c>
      <x:c r="V42" s="32" t="str">
        <x:v>Conditional</x:v>
      </x:c>
    </x:row>
    <x:row r="43">
      <x:c r="A43" s="32" t="n">
        <x:v>42</x:v>
      </x:c>
      <x:c r="B43" s="32" t="str">
        <x:v>Brambles Limited (ASX: BXB)</x:v>
      </x:c>
      <x:c r="C43" s="32" t="str">
        <x:v>Australia</x:v>
      </x:c>
      <x:c r="D43" s="32" t="str">
        <x:v>Supply Chain / Logistics</x:v>
      </x:c>
      <x:c r="E43" s="32" t="str">
        <x:v>Unverifiable</x:v>
      </x:c>
      <x:c r="F43" s="32" t="str">
        <x:v>No qualifying current parent-level certificate located</x:v>
      </x:c>
      <x:c r="G43" s="32" t="str">
        <x:v>D</x:v>
      </x:c>
      <x:c r="H43" s="32" t="str">
        <x:v>Listed parent</x:v>
      </x:c>
      <x:c r="I43" s="32" t="str"/>
      <x:c r="J43" s="32" t="str"/>
      <x:c r="K43" s="32" t="str"/>
      <x:c r="L43" s="32" t="str">
        <x:v>No qualifying public parent-level ISO/IEC 27001 certificate established.</x:v>
      </x:c>
      <x:c r="M43" s="32" t="n">
        <x:v>0</x:v>
      </x:c>
      <x:c r="N43" s="32" t="str">
        <x:v>Unknown</x:v>
      </x:c>
      <x:c r="O43" s="32" t="str">
        <x:v>Indeterminate</x:v>
      </x:c>
      <x:c r="P43" s="32" t="str">
        <x:v>None</x:v>
      </x:c>
      <x:c r="Q43" s="32" t="str"/>
      <x:c r="R43" s="32" t="str"/>
      <x:c r="S43" s="32" t="str"/>
      <x:c r="T43" s="32" t="str"/>
      <x:c r="U43" s="32" t="str">
        <x:v>Missing-data case.</x:v>
      </x:c>
      <x:c r="V43" s="32" t="str">
        <x:v>No</x:v>
      </x:c>
    </x:row>
    <x:row r="44">
      <x:c r="A44" s="32" t="n">
        <x:v>43</x:v>
      </x:c>
      <x:c r="B44" s="32" t="str">
        <x:v>APA Group (ASX: APA)</x:v>
      </x:c>
      <x:c r="C44" s="32" t="str">
        <x:v>Australia</x:v>
      </x:c>
      <x:c r="D44" s="32" t="str">
        <x:v>Energy Infrastructure</x:v>
      </x:c>
      <x:c r="E44" s="32" t="str">
        <x:v>Unverifiable</x:v>
      </x:c>
      <x:c r="F44" s="32" t="str">
        <x:v>No qualifying current parent-level certificate located</x:v>
      </x:c>
      <x:c r="G44" s="32" t="str">
        <x:v>D</x:v>
      </x:c>
      <x:c r="H44" s="32" t="str">
        <x:v>Listed parent</x:v>
      </x:c>
      <x:c r="I44" s="32" t="str"/>
      <x:c r="J44" s="32" t="str"/>
      <x:c r="K44" s="32" t="str"/>
      <x:c r="L44" s="32" t="str">
        <x:v>No qualifying public parent-level ISO/IEC 27001 certificate established.</x:v>
      </x:c>
      <x:c r="M44" s="32" t="n">
        <x:v>0</x:v>
      </x:c>
      <x:c r="N44" s="32" t="str">
        <x:v>Unknown</x:v>
      </x:c>
      <x:c r="O44" s="32" t="str">
        <x:v>Indeterminate</x:v>
      </x:c>
      <x:c r="P44" s="32" t="str">
        <x:v>None</x:v>
      </x:c>
      <x:c r="Q44" s="32" t="str"/>
      <x:c r="R44" s="32" t="str"/>
      <x:c r="S44" s="32" t="str"/>
      <x:c r="T44" s="32" t="str"/>
      <x:c r="U44" s="32" t="str">
        <x:v>SOCI/AESCSF or other controls are not treated as ISO 27001.</x:v>
      </x:c>
      <x:c r="V44" s="32" t="str">
        <x:v>No</x:v>
      </x:c>
    </x:row>
    <x:row r="45">
      <x:c r="A45" s="32" t="n">
        <x:v>44</x:v>
      </x:c>
      <x:c r="B45" s="32" t="str">
        <x:v>Origin Energy Limited (ASX: ORG)</x:v>
      </x:c>
      <x:c r="C45" s="32" t="str">
        <x:v>Australia</x:v>
      </x:c>
      <x:c r="D45" s="32" t="str">
        <x:v>Energy / Utilities</x:v>
      </x:c>
      <x:c r="E45" s="32" t="str">
        <x:v>Unverifiable</x:v>
      </x:c>
      <x:c r="F45" s="32" t="str">
        <x:v>No qualifying current parent-level certificate located</x:v>
      </x:c>
      <x:c r="G45" s="32" t="str">
        <x:v>D</x:v>
      </x:c>
      <x:c r="H45" s="32" t="str">
        <x:v>Listed parent</x:v>
      </x:c>
      <x:c r="I45" s="32" t="str"/>
      <x:c r="J45" s="32" t="str"/>
      <x:c r="K45" s="32" t="str"/>
      <x:c r="L45" s="32" t="str">
        <x:v>No qualifying public parent-level ISO/IEC 27001 certificate established.</x:v>
      </x:c>
      <x:c r="M45" s="32" t="n">
        <x:v>0</x:v>
      </x:c>
      <x:c r="N45" s="32" t="str">
        <x:v>Unknown</x:v>
      </x:c>
      <x:c r="O45" s="32" t="str">
        <x:v>Indeterminate</x:v>
      </x:c>
      <x:c r="P45" s="32" t="str">
        <x:v>None</x:v>
      </x:c>
      <x:c r="Q45" s="32" t="str"/>
      <x:c r="R45" s="32" t="str"/>
      <x:c r="S45" s="32" t="str"/>
      <x:c r="T45" s="32" t="str"/>
      <x:c r="U45" s="32" t="str">
        <x:v>Missing-data case.</x:v>
      </x:c>
      <x:c r="V45" s="32" t="str">
        <x:v>No</x:v>
      </x:c>
    </x:row>
    <x:row r="46">
      <x:c r="A46" s="32" t="n">
        <x:v>45</x:v>
      </x:c>
      <x:c r="B46" s="32" t="str">
        <x:v>Qantas Airways Limited (ASX: QAN)</x:v>
      </x:c>
      <x:c r="C46" s="32" t="str">
        <x:v>Australia</x:v>
      </x:c>
      <x:c r="D46" s="32" t="str">
        <x:v>Airline / Aviation</x:v>
      </x:c>
      <x:c r="E46" s="32" t="str">
        <x:v>Unverifiable (Group Level)</x:v>
      </x:c>
      <x:c r="F46" s="32" t="str">
        <x:v>Group-level certification not established</x:v>
      </x:c>
      <x:c r="G46" s="32" t="str">
        <x:v>D</x:v>
      </x:c>
      <x:c r="H46" s="32" t="str">
        <x:v>Listed parent group</x:v>
      </x:c>
      <x:c r="I46" s="32" t="str"/>
      <x:c r="J46" s="32" t="str"/>
      <x:c r="K46" s="32" t="str"/>
      <x:c r="L46" s="32" t="str">
        <x:v>No qualifying Qantas Airways group-wide ISO/IEC 27001 certificate established; component/subsidiary evidence is not promoted to group level.</x:v>
      </x:c>
      <x:c r="M46" s="32" t="n">
        <x:v>0</x:v>
      </x:c>
      <x:c r="N46" s="32" t="str">
        <x:v>Unknown/component</x:v>
      </x:c>
      <x:c r="O46" s="32" t="str">
        <x:v>Indeterminate</x:v>
      </x:c>
      <x:c r="P46" s="32" t="str">
        <x:v>None</x:v>
      </x:c>
      <x:c r="Q46" s="32" t="str"/>
      <x:c r="R46" s="32" t="str"/>
      <x:c r="S46" s="32" t="str"/>
      <x:c r="T46" s="32" t="str"/>
      <x:c r="U46" s="32" t="str">
        <x:v>Do not attribute Qantas Money/Home Loans or supplier certifications to group parent.</x:v>
      </x:c>
      <x:c r="V46" s="32" t="str">
        <x:v>No</x:v>
      </x:c>
    </x:row>
    <x:row r="47">
      <x:c r="A47" s="32" t="n">
        <x:v>46</x:v>
      </x:c>
      <x:c r="B47" s="32" t="str">
        <x:v>SF Holding Co., Ltd. (顺丰控股, 002352)</x:v>
      </x:c>
      <x:c r="C47" s="32" t="str">
        <x:v>China</x:v>
      </x:c>
      <x:c r="D47" s="32" t="str">
        <x:v>Logistics / Supply Chain</x:v>
      </x:c>
      <x:c r="E47" s="32" t="str">
        <x:v>Certified (Corporate Disclosure); Scope Unverified</x:v>
      </x:c>
      <x:c r="F47" s="32" t="str">
        <x:v>Current certified — core business operations</x:v>
      </x:c>
      <x:c r="G47" s="32" t="str">
        <x:v>B</x:v>
      </x:c>
      <x:c r="H47" s="32" t="str">
        <x:v>Listed legal entity</x:v>
      </x:c>
      <x:c r="I47" s="32" t="str"/>
      <x:c r="J47" s="32" t="str"/>
      <x:c r="K47" s="32" t="str"/>
      <x:c r="L47" s="32" t="str">
        <x:v>SF states its information and network security management system holds ISO/IEC 27001 and ISO/IEC 27701 certifications covering core business operations.</x:v>
      </x:c>
      <x:c r="M47" s="32" t="n">
        <x:v>2</x:v>
      </x:c>
      <x:c r="N47" s="32" t="str">
        <x:v>Core-business comprehensive</x:v>
      </x:c>
      <x:c r="O47" s="32" t="str">
        <x:v>No</x:v>
      </x:c>
      <x:c r="P47" s="32" t="str">
        <x:v>None</x:v>
      </x:c>
      <x:c r="Q47" s="32" t="str"/>
      <x:c r="R47" s="32" t="str"/>
      <x:c r="S47" s="32" t="str"/>
      <x:c r="T47" s="32" t="str"/>
      <x:c r="U47" s="32" t="str">
        <x:v>Corrected: stronger corporate scope evidence supports core-business coding; exact certificate ID/expiry not established.</x:v>
      </x:c>
      <x:c r="V47" s="32" t="str">
        <x:v>Yes</x:v>
      </x:c>
    </x:row>
    <x:row r="48">
      <x:c r="A48" s="32" t="n">
        <x:v>47</x:v>
      </x:c>
      <x:c r="B48" s="32" t="str">
        <x:v>NARI Technology Co., Ltd. (国电南瑞, 600406)</x:v>
      </x:c>
      <x:c r="C48" s="32" t="str">
        <x:v>China</x:v>
      </x:c>
      <x:c r="D48" s="32" t="str">
        <x:v>Industrial Software / Grid Technology</x:v>
      </x:c>
      <x:c r="E48" s="32" t="str">
        <x:v>Unverifiable</x:v>
      </x:c>
      <x:c r="F48" s="32" t="str">
        <x:v>No qualifying current parent-level certificate located</x:v>
      </x:c>
      <x:c r="G48" s="32" t="str">
        <x:v>D</x:v>
      </x:c>
      <x:c r="H48" s="32" t="str">
        <x:v>Listed parent</x:v>
      </x:c>
      <x:c r="I48" s="32" t="str"/>
      <x:c r="J48" s="32" t="str"/>
      <x:c r="K48" s="32" t="str"/>
      <x:c r="L48" s="32" t="str">
        <x:v>No qualifying current certificate-level evidence established for the listed parent.</x:v>
      </x:c>
      <x:c r="M48" s="32" t="n">
        <x:v>0</x:v>
      </x:c>
      <x:c r="N48" s="32" t="str">
        <x:v>Unknown</x:v>
      </x:c>
      <x:c r="O48" s="32" t="str">
        <x:v>Indeterminate</x:v>
      </x:c>
      <x:c r="P48" s="32" t="str">
        <x:v>None</x:v>
      </x:c>
      <x:c r="Q48" s="32" t="str"/>
      <x:c r="R48" s="32" t="str"/>
      <x:c r="S48" s="32" t="str"/>
      <x:c r="T48" s="32" t="str"/>
      <x:c r="U48" s="32" t="str">
        <x:v>Missing-data case.</x:v>
      </x:c>
      <x:c r="V48" s="32" t="str">
        <x:v>No</x:v>
      </x:c>
    </x:row>
    <x:row r="49">
      <x:c r="A49" s="32" t="n">
        <x:v>48</x:v>
      </x:c>
      <x:c r="B49" s="32" t="str">
        <x:v>COSCO SHIPPING Holdings Co., Ltd. (中远海控, 601919)</x:v>
      </x:c>
      <x:c r="C49" s="32" t="str">
        <x:v>China</x:v>
      </x:c>
      <x:c r="D49" s="32" t="str">
        <x:v>Shipping / Ports / Logistics</x:v>
      </x:c>
      <x:c r="E49" s="32" t="str">
        <x:v>Certified (Subsidiary/Business Scope); Parent Unverifiable</x:v>
      </x:c>
      <x:c r="F49" s="32" t="str">
        <x:v>Subsidiary certificates only; parent unverified</x:v>
      </x:c>
      <x:c r="G49" s="32" t="str">
        <x:v>B</x:v>
      </x:c>
      <x:c r="H49" s="32" t="str">
        <x:v>Subsidiaries/business entities</x:v>
      </x:c>
      <x:c r="I49" s="32" t="str"/>
      <x:c r="J49" s="32" t="str"/>
      <x:c r="K49" s="32" t="str"/>
      <x:c r="L49" s="32" t="str">
        <x:v>ISO/IEC 27001 evidence exists for specific COSCO SHIPPING entities/businesses (e.g., IQAX / COSCO Shipping Lines Greece), not the listed holding parent.</x:v>
      </x:c>
      <x:c r="M49" s="32" t="n">
        <x:v>2</x:v>
      </x:c>
      <x:c r="N49" s="32" t="str">
        <x:v>Subsidiary/business unit</x:v>
      </x:c>
      <x:c r="O49" s="32" t="str">
        <x:v>Indeterminate</x:v>
      </x:c>
      <x:c r="P49" s="32" t="str">
        <x:v>None</x:v>
      </x:c>
      <x:c r="Q49" s="32" t="str"/>
      <x:c r="R49" s="32" t="str"/>
      <x:c r="S49" s="32" t="str"/>
      <x:c r="T49" s="32" t="str"/>
      <x:c r="U49" s="32" t="str">
        <x:v>Parent certification not inferred.</x:v>
      </x:c>
      <x:c r="V49" s="32" t="str">
        <x:v>Yes</x:v>
      </x:c>
    </x:row>
    <x:row r="50">
      <x:c r="A50" s="32" t="n">
        <x:v>49</x:v>
      </x:c>
      <x:c r="B50" s="32" t="str">
        <x:v>Inovance Technology Co., Ltd. (汇川技术, 300124)</x:v>
      </x:c>
      <x:c r="C50" s="32" t="str">
        <x:v>China</x:v>
      </x:c>
      <x:c r="D50" s="32" t="str">
        <x:v>Industrial Automation / IIoT</x:v>
      </x:c>
      <x:c r="E50" s="32" t="str">
        <x:v>Certified (Subsidiary Only)</x:v>
      </x:c>
      <x:c r="F50" s="32" t="str">
        <x:v>Subsidiary certified; parent unverified</x:v>
      </x:c>
      <x:c r="G50" s="32" t="str">
        <x:v>B</x:v>
      </x:c>
      <x:c r="H50" s="32" t="str">
        <x:v>Subsidiary (INOVANCE Automotive)</x:v>
      </x:c>
      <x:c r="I50" s="32" t="str"/>
      <x:c r="J50" s="32" t="str"/>
      <x:c r="K50" s="32" t="str"/>
      <x:c r="L50" s="32" t="str">
        <x:v>Official ESG identifies INOVANCE Automotive, a subsidiary, as having passed ISO/IEC 27001:2013 annual review.</x:v>
      </x:c>
      <x:c r="M50" s="32" t="n">
        <x:v>2</x:v>
      </x:c>
      <x:c r="N50" s="32" t="str">
        <x:v>Subsidiary/legal entity</x:v>
      </x:c>
      <x:c r="O50" s="32" t="str">
        <x:v>Indeterminate</x:v>
      </x:c>
      <x:c r="P50" s="32" t="str">
        <x:v>None</x:v>
      </x:c>
      <x:c r="Q50" s="32" t="str"/>
      <x:c r="R50" s="32" t="str"/>
      <x:c r="S50" s="32" t="str"/>
      <x:c r="T50" s="32" t="str"/>
      <x:c r="U50" s="32" t="str">
        <x:v>Parent-level certification not established.</x:v>
      </x:c>
      <x:c r="V50" s="32" t="str">
        <x:v>Yes</x:v>
      </x:c>
    </x:row>
    <x:row r="51">
      <x:c r="A51" s="32" t="n">
        <x:v>50</x:v>
      </x:c>
      <x:c r="B51" s="32" t="str">
        <x:v>Haier Smart Home Co., Ltd. (海尔智家, 600690)</x:v>
      </x:c>
      <x:c r="C51" s="32" t="str">
        <x:v>China</x:v>
      </x:c>
      <x:c r="D51" s="32" t="str">
        <x:v>Smart Home / IoT</x:v>
      </x:c>
      <x:c r="E51" s="32" t="str">
        <x:v>Certified (Corporate / Expanded Scope)</x:v>
      </x:c>
      <x:c r="F51" s="32" t="str">
        <x:v>Current certified; defined multi-entity scope</x:v>
      </x:c>
      <x:c r="G51" s="32" t="str">
        <x:v>B</x:v>
      </x:c>
      <x:c r="H51" s="32" t="str">
        <x:v>Listed legal entity / multi-entity scope</x:v>
      </x:c>
      <x:c r="I51" s="32" t="str"/>
      <x:c r="J51" s="32" t="str"/>
      <x:c r="K51" s="32" t="str"/>
      <x:c r="L51" s="32" t="str">
        <x:v>Haier Smart Home disclosed ISO/IEC 27001 certification and July 2025 re-certification; later disclosure indicates scope expansion to Haier Singapore and Haier Vietnam.</x:v>
      </x:c>
      <x:c r="M51" s="32" t="n">
        <x:v>2</x:v>
      </x:c>
      <x:c r="N51" s="32" t="str">
        <x:v>Multi-entity defined</x:v>
      </x:c>
      <x:c r="O51" s="32" t="str">
        <x:v>No</x:v>
      </x:c>
      <x:c r="P51" s="32" t="str">
        <x:v>None</x:v>
      </x:c>
      <x:c r="Q51" s="32" t="str"/>
      <x:c r="R51" s="32" t="str"/>
      <x:c r="S51" s="32" t="str"/>
      <x:c r="T51" s="32" t="str"/>
      <x:c r="U51" s="32" t="str">
        <x:v>Current corporate certification is supported. Exact certificate ID/expiry not established; do not invent initial date.</x:v>
      </x:c>
      <x:c r="V51" s="32" t="str">
        <x:v>Yes</x:v>
      </x:c>
    </x:row>
  </x:sheetData>
  <x:conditionalFormatting sqref="G2:G51">
    <x:cfRule type="colorScale" priority="1">
      <x:colorScale>
        <x:cfvo type="min"/>
        <x:cfvo type="percentile" val="50"/>
        <x:cfvo type="max"/>
        <x:color rgb="FFF4CCCC"/>
        <x:color rgb="FFFFF2CC"/>
        <x:color rgb="FFD9EAD3"/>
      </x:colorScale>
    </x:cfRule>
  </x:conditionalFormatting>
  <x:conditionalFormatting sqref="O2:O51">
    <x:cfRule type="expression" dxfId="0" priority="2">
      <x:formula>O2="Yes"</x:formula>
    </x:cfRule>
    <x:cfRule type="expression" dxfId="1" priority="3">
      <x:formula>O2="No"</x:formula>
    </x:cfRule>
    <x:cfRule type="expression" dxfId="2" priority="4">
      <x:formula>O2="Indeterminate"</x:formula>
    </x:cfRule>
  </x:conditionalFormatting>
  <x:conditionalFormatting sqref="V2:V51">
    <x:cfRule type="expression" dxfId="3" priority="5">
      <x:formula>V2="Yes"</x:formula>
    </x:cfRule>
    <x:cfRule type="expression" dxfId="4" priority="6">
      <x:formula>V2="Conditional"</x:formula>
    </x:cfRule>
    <x:cfRule type="expression" dxfId="5" priority="7">
      <x:formula>V2="No"</x:formula>
    </x:cfRule>
  </x:conditionalFormatting>
  <x:pageMargins left="0.7" right="0.7" top="0.75" bottom="0.75" header="0.3" footer="0.3"/>
  <x:tableParts count="1">
    <x:tablePart xmlns:r="http://schemas.openxmlformats.org/officeDocument/2006/relationships" r:id="Rbf829c4ba15c4994"/>
  </x:tableParts>
</x:worksheet>
</file>

<file path=xl/worksheets/sheet4.xml><?xml version="1.0" encoding="utf-8"?>
<x:worksheet xmlns:x="http://schemas.openxmlformats.org/spreadsheetml/2006/main">
  <x:sheetFormatPr defaultRowHeight="15"/>
  <x:cols>
    <x:col min="1" max="1" width="7" hidden="0" customWidth="1"/>
    <x:col min="2" max="2" width="38" hidden="0" customWidth="1"/>
    <x:col min="3" max="3" width="12" hidden="0" customWidth="1"/>
    <x:col min="4" max="4" width="18" hidden="0" customWidth="1"/>
    <x:col min="5" max="5" width="16" hidden="0" customWidth="1"/>
    <x:col min="6" max="6" width="18" hidden="0" customWidth="1"/>
    <x:col min="7" max="7" width="18" hidden="0" customWidth="1"/>
    <x:col min="8" max="8" width="18" hidden="0" customWidth="1"/>
    <x:col min="9" max="9" width="24" hidden="0" customWidth="1"/>
    <x:col min="10" max="10" width="18" hidden="0" customWidth="1"/>
    <x:col min="11" max="11" width="22" hidden="0" customWidth="1"/>
    <x:col min="12" max="12" width="30" hidden="0" customWidth="1"/>
    <x:col min="13" max="13" width="22" hidden="0" customWidth="1"/>
    <x:col min="14" max="14" width="52" hidden="0" customWidth="1"/>
  </x:cols>
  <x:sheetData>
    <x:row r="1">
      <x:c r="A1" s="28" t="str">
        <x:v>No.</x:v>
      </x:c>
      <x:c r="B1" s="28" t="str">
        <x:v>Company Name &amp; Code</x:v>
      </x:c>
      <x:c r="C1" s="28" t="str">
        <x:v>Country Code</x:v>
      </x:c>
      <x:c r="D1" s="28" t="str">
        <x:v>Certification Current/Usable</x:v>
      </x:c>
      <x:c r="E1" s="28" t="str">
        <x:v>Evidence Tier Code</x:v>
      </x:c>
      <x:c r="F1" s="28" t="str">
        <x:v>Scope Evidence Level</x:v>
      </x:c>
      <x:c r="G1" s="28" t="str">
        <x:v>Entity Alignment Code</x:v>
      </x:c>
      <x:c r="H1" s="28" t="str">
        <x:v>Boundary Type Code</x:v>
      </x:c>
      <x:c r="I1" s="28" t="str">
        <x:v>Potential Ring-Fencing Code</x:v>
      </x:c>
      <x:c r="J1" s="28" t="str">
        <x:v>Strategic Intent Code</x:v>
      </x:c>
      <x:c r="K1" s="28" t="str">
        <x:v>International/Named Multi-Entity Scope</x:v>
      </x:c>
      <x:c r="L1" s="28" t="str">
        <x:v>Post-legislation Scope Change Evidence</x:v>
      </x:c>
      <x:c r="M1" s="28" t="str">
        <x:v>Scope Analysis Population</x:v>
      </x:c>
      <x:c r="N1" s="28" t="str">
        <x:v>Coding Note</x:v>
      </x:c>
    </x:row>
    <x:row r="2">
      <x:c r="A2" s="32" t="n">
        <x:v>1</x:v>
      </x:c>
      <x:c r="B2" s="32" t="str">
        <x:v>Telstra Corporation Limited (ASX: TLS)</x:v>
      </x:c>
      <x:c r="C2" s="32" t="n">
        <x:v>0</x:v>
      </x:c>
      <x:c r="D2" s="32" t="n">
        <x:v>1</x:v>
      </x:c>
      <x:c r="E2" s="32" t="n">
        <x:v>2</x:v>
      </x:c>
      <x:c r="F2" s="32" t="n">
        <x:v>2</x:v>
      </x:c>
      <x:c r="G2" s="32" t="n">
        <x:v>4</x:v>
      </x:c>
      <x:c r="H2" s="32" t="n">
        <x:v>4</x:v>
      </x:c>
      <x:c r="I2" s="32" t="n">
        <x:v>9</x:v>
      </x:c>
      <x:c r="J2" s="32" t="n">
        <x:v>0</x:v>
      </x:c>
      <x:c r="K2" s="32" t="n">
        <x:v>1</x:v>
      </x:c>
      <x:c r="L2" s="32" t="n">
        <x:v>0</x:v>
      </x:c>
      <x:c r="M2" s="32" t="n">
        <x:v>1</x:v>
      </x:c>
      <x:c r="N2" s="32" t="str">
        <x:v>9 = indeterminate/unknown; never interpret 9 as positive or negative ring-fencing.</x:v>
      </x:c>
    </x:row>
    <x:row r="3">
      <x:c r="A3" s="32" t="n">
        <x:v>2</x:v>
      </x:c>
      <x:c r="B3" s="32" t="str">
        <x:v>TPG Telecom Limited (ASX: TPG)</x:v>
      </x:c>
      <x:c r="C3" s="32" t="n">
        <x:v>0</x:v>
      </x:c>
      <x:c r="D3" s="32" t="n">
        <x:v>0</x:v>
      </x:c>
      <x:c r="E3" s="32" t="n">
        <x:v>0</x:v>
      </x:c>
      <x:c r="F3" s="32" t="n">
        <x:v>0</x:v>
      </x:c>
      <x:c r="G3" s="32" t="n">
        <x:v>1</x:v>
      </x:c>
      <x:c r="H3" s="32" t="n">
        <x:v>0</x:v>
      </x:c>
      <x:c r="I3" s="32" t="n">
        <x:v>9</x:v>
      </x:c>
      <x:c r="J3" s="32" t="n">
        <x:v>0</x:v>
      </x:c>
      <x:c r="K3" s="32" t="n">
        <x:v>0</x:v>
      </x:c>
      <x:c r="L3" s="32" t="n">
        <x:v>0</x:v>
      </x:c>
      <x:c r="M3" s="32" t="n">
        <x:v>0</x:v>
      </x:c>
      <x:c r="N3" s="32" t="str">
        <x:v>9 = indeterminate/unknown; never interpret 9 as positive or negative ring-fencing.</x:v>
      </x:c>
    </x:row>
    <x:row r="4">
      <x:c r="A4" s="32" t="n">
        <x:v>3</x:v>
      </x:c>
      <x:c r="B4" s="32" t="str">
        <x:v>Singtel Optus Pty Limited (Optus)</x:v>
      </x:c>
      <x:c r="C4" s="32" t="n">
        <x:v>0</x:v>
      </x:c>
      <x:c r="D4" s="32" t="n">
        <x:v>0</x:v>
      </x:c>
      <x:c r="E4" s="32" t="n">
        <x:v>2</x:v>
      </x:c>
      <x:c r="F4" s="32" t="n">
        <x:v>2</x:v>
      </x:c>
      <x:c r="G4" s="32" t="n">
        <x:v>2</x:v>
      </x:c>
      <x:c r="H4" s="32" t="n">
        <x:v>1</x:v>
      </x:c>
      <x:c r="I4" s="32" t="n">
        <x:v>9</x:v>
      </x:c>
      <x:c r="J4" s="32" t="n">
        <x:v>0</x:v>
      </x:c>
      <x:c r="K4" s="32" t="n">
        <x:v>0</x:v>
      </x:c>
      <x:c r="L4" s="32" t="n">
        <x:v>0</x:v>
      </x:c>
      <x:c r="M4" s="32" t="n">
        <x:v>1</x:v>
      </x:c>
      <x:c r="N4" s="32" t="str">
        <x:v>9 = indeterminate/unknown; never interpret 9 as positive or negative ring-fencing.</x:v>
      </x:c>
    </x:row>
    <x:row r="5">
      <x:c r="A5" s="32" t="n">
        <x:v>4</x:v>
      </x:c>
      <x:c r="B5" s="32" t="str">
        <x:v>NEXTDC Limited (ASX: NXT)</x:v>
      </x:c>
      <x:c r="C5" s="32" t="n">
        <x:v>0</x:v>
      </x:c>
      <x:c r="D5" s="32" t="n">
        <x:v>1</x:v>
      </x:c>
      <x:c r="E5" s="32" t="n">
        <x:v>3</x:v>
      </x:c>
      <x:c r="F5" s="32" t="n">
        <x:v>3</x:v>
      </x:c>
      <x:c r="G5" s="32" t="n">
        <x:v>1</x:v>
      </x:c>
      <x:c r="H5" s="32" t="n">
        <x:v>5</x:v>
      </x:c>
      <x:c r="I5" s="32" t="n">
        <x:v>0</x:v>
      </x:c>
      <x:c r="J5" s="32" t="n">
        <x:v>0</x:v>
      </x:c>
      <x:c r="K5" s="32" t="n">
        <x:v>0</x:v>
      </x:c>
      <x:c r="L5" s="32" t="n">
        <x:v>0</x:v>
      </x:c>
      <x:c r="M5" s="32" t="n">
        <x:v>1</x:v>
      </x:c>
      <x:c r="N5" s="32" t="str">
        <x:v>9 = indeterminate/unknown; never interpret 9 as positive or negative ring-fencing.</x:v>
      </x:c>
    </x:row>
    <x:row r="6">
      <x:c r="A6" s="32" t="n">
        <x:v>5</x:v>
      </x:c>
      <x:c r="B6" s="32" t="str">
        <x:v>Macquarie Technology Group (ASX: MAQ)</x:v>
      </x:c>
      <x:c r="C6" s="32" t="n">
        <x:v>0</x:v>
      </x:c>
      <x:c r="D6" s="32" t="n">
        <x:v>1</x:v>
      </x:c>
      <x:c r="E6" s="32" t="n">
        <x:v>3</x:v>
      </x:c>
      <x:c r="F6" s="32" t="n">
        <x:v>3</x:v>
      </x:c>
      <x:c r="G6" s="32" t="n">
        <x:v>3</x:v>
      </x:c>
      <x:c r="H6" s="32" t="n">
        <x:v>3</x:v>
      </x:c>
      <x:c r="I6" s="32" t="n">
        <x:v>9</x:v>
      </x:c>
      <x:c r="J6" s="32" t="n">
        <x:v>0</x:v>
      </x:c>
      <x:c r="K6" s="32" t="n">
        <x:v>0</x:v>
      </x:c>
      <x:c r="L6" s="32" t="n">
        <x:v>0</x:v>
      </x:c>
      <x:c r="M6" s="32" t="n">
        <x:v>1</x:v>
      </x:c>
      <x:c r="N6" s="32" t="str">
        <x:v>9 = indeterminate/unknown; never interpret 9 as positive or negative ring-fencing.</x:v>
      </x:c>
    </x:row>
    <x:row r="7">
      <x:c r="A7" s="32" t="n">
        <x:v>6</x:v>
      </x:c>
      <x:c r="B7" s="32" t="str">
        <x:v>China Telecom Corporation Limited (中国电信, 601728)</x:v>
      </x:c>
      <x:c r="C7" s="32" t="n">
        <x:v>1</x:v>
      </x:c>
      <x:c r="D7" s="32" t="n">
        <x:v>0</x:v>
      </x:c>
      <x:c r="E7" s="32" t="n">
        <x:v>1</x:v>
      </x:c>
      <x:c r="F7" s="32" t="n">
        <x:v>1</x:v>
      </x:c>
      <x:c r="G7" s="32" t="n">
        <x:v>3</x:v>
      </x:c>
      <x:c r="H7" s="32" t="n">
        <x:v>3</x:v>
      </x:c>
      <x:c r="I7" s="32" t="n">
        <x:v>9</x:v>
      </x:c>
      <x:c r="J7" s="32" t="n">
        <x:v>0</x:v>
      </x:c>
      <x:c r="K7" s="32" t="n">
        <x:v>0</x:v>
      </x:c>
      <x:c r="L7" s="32" t="n">
        <x:v>0</x:v>
      </x:c>
      <x:c r="M7" s="32" t="n">
        <x:v>0</x:v>
      </x:c>
      <x:c r="N7" s="32" t="str">
        <x:v>9 = indeterminate/unknown; never interpret 9 as positive or negative ring-fencing.</x:v>
      </x:c>
    </x:row>
    <x:row r="8">
      <x:c r="A8" s="32" t="n">
        <x:v>7</x:v>
      </x:c>
      <x:c r="B8" s="32" t="str">
        <x:v>China Mobile Communications Group (中国移动, 600941)</x:v>
      </x:c>
      <x:c r="C8" s="32" t="n">
        <x:v>1</x:v>
      </x:c>
      <x:c r="D8" s="32" t="n">
        <x:v>0</x:v>
      </x:c>
      <x:c r="E8" s="32" t="n">
        <x:v>3</x:v>
      </x:c>
      <x:c r="F8" s="32" t="n">
        <x:v>3</x:v>
      </x:c>
      <x:c r="G8" s="32" t="n">
        <x:v>3</x:v>
      </x:c>
      <x:c r="H8" s="32" t="n">
        <x:v>3</x:v>
      </x:c>
      <x:c r="I8" s="32" t="n">
        <x:v>9</x:v>
      </x:c>
      <x:c r="J8" s="32" t="n">
        <x:v>0</x:v>
      </x:c>
      <x:c r="K8" s="32" t="n">
        <x:v>0</x:v>
      </x:c>
      <x:c r="L8" s="32" t="n">
        <x:v>0</x:v>
      </x:c>
      <x:c r="M8" s="32" t="n">
        <x:v>0</x:v>
      </x:c>
      <x:c r="N8" s="32" t="str">
        <x:v>9 = indeterminate/unknown; never interpret 9 as positive or negative ring-fencing.</x:v>
      </x:c>
    </x:row>
    <x:row r="9">
      <x:c r="A9" s="32" t="n">
        <x:v>8</x:v>
      </x:c>
      <x:c r="B9" s="32" t="str">
        <x:v>China United Network Communications (中国联通, 600050)</x:v>
      </x:c>
      <x:c r="C9" s="32" t="n">
        <x:v>1</x:v>
      </x:c>
      <x:c r="D9" s="32" t="n">
        <x:v>0</x:v>
      </x:c>
      <x:c r="E9" s="32" t="n">
        <x:v>1</x:v>
      </x:c>
      <x:c r="F9" s="32" t="n">
        <x:v>1</x:v>
      </x:c>
      <x:c r="G9" s="32" t="n">
        <x:v>3</x:v>
      </x:c>
      <x:c r="H9" s="32" t="n">
        <x:v>3</x:v>
      </x:c>
      <x:c r="I9" s="32" t="n">
        <x:v>9</x:v>
      </x:c>
      <x:c r="J9" s="32" t="n">
        <x:v>0</x:v>
      </x:c>
      <x:c r="K9" s="32" t="n">
        <x:v>0</x:v>
      </x:c>
      <x:c r="L9" s="32" t="n">
        <x:v>0</x:v>
      </x:c>
      <x:c r="M9" s="32" t="n">
        <x:v>0</x:v>
      </x:c>
      <x:c r="N9" s="32" t="str">
        <x:v>9 = indeterminate/unknown; never interpret 9 as positive or negative ring-fencing.</x:v>
      </x:c>
    </x:row>
    <x:row r="10">
      <x:c r="A10" s="32" t="n">
        <x:v>9</x:v>
      </x:c>
      <x:c r="B10" s="32" t="str">
        <x:v>Alibaba Cloud Computing Co., Ltd. (阿里云计算有限公司)</x:v>
      </x:c>
      <x:c r="C10" s="32" t="n">
        <x:v>1</x:v>
      </x:c>
      <x:c r="D10" s="32" t="n">
        <x:v>1</x:v>
      </x:c>
      <x:c r="E10" s="32" t="n">
        <x:v>3</x:v>
      </x:c>
      <x:c r="F10" s="32" t="n">
        <x:v>3</x:v>
      </x:c>
      <x:c r="G10" s="32" t="n">
        <x:v>1</x:v>
      </x:c>
      <x:c r="H10" s="32" t="n">
        <x:v>1</x:v>
      </x:c>
      <x:c r="I10" s="32" t="n">
        <x:v>9</x:v>
      </x:c>
      <x:c r="J10" s="32" t="n">
        <x:v>0</x:v>
      </x:c>
      <x:c r="K10" s="32" t="n">
        <x:v>0</x:v>
      </x:c>
      <x:c r="L10" s="32" t="n">
        <x:v>0</x:v>
      </x:c>
      <x:c r="M10" s="32" t="n">
        <x:v>1</x:v>
      </x:c>
      <x:c r="N10" s="32" t="str">
        <x:v>9 = indeterminate/unknown; never interpret 9 as positive or negative ring-fencing.</x:v>
      </x:c>
    </x:row>
    <x:row r="11">
      <x:c r="A11" s="32" t="n">
        <x:v>10</x:v>
      </x:c>
      <x:c r="B11" s="32" t="str">
        <x:v>Tencent Cloud Computing (Beijing) Co., Ltd. (腾讯云计算（北京）有限责任公司)</x:v>
      </x:c>
      <x:c r="C11" s="32" t="n">
        <x:v>1</x:v>
      </x:c>
      <x:c r="D11" s="32" t="n">
        <x:v>1</x:v>
      </x:c>
      <x:c r="E11" s="32" t="n">
        <x:v>1</x:v>
      </x:c>
      <x:c r="F11" s="32" t="n">
        <x:v>1</x:v>
      </x:c>
      <x:c r="G11" s="32" t="n">
        <x:v>2</x:v>
      </x:c>
      <x:c r="H11" s="32" t="n">
        <x:v>1</x:v>
      </x:c>
      <x:c r="I11" s="32" t="n">
        <x:v>9</x:v>
      </x:c>
      <x:c r="J11" s="32" t="n">
        <x:v>0</x:v>
      </x:c>
      <x:c r="K11" s="32" t="n">
        <x:v>0</x:v>
      </x:c>
      <x:c r="L11" s="32" t="n">
        <x:v>0</x:v>
      </x:c>
      <x:c r="M11" s="32" t="n">
        <x:v>0</x:v>
      </x:c>
      <x:c r="N11" s="32" t="str">
        <x:v>9 = indeterminate/unknown; never interpret 9 as positive or negative ring-fencing.</x:v>
      </x:c>
    </x:row>
    <x:row r="12">
      <x:c r="A12" s="32" t="n">
        <x:v>11</x:v>
      </x:c>
      <x:c r="B12" s="32" t="str">
        <x:v>Technology One Limited (ASX: TNE)</x:v>
      </x:c>
      <x:c r="C12" s="32" t="n">
        <x:v>0</x:v>
      </x:c>
      <x:c r="D12" s="32" t="n">
        <x:v>1</x:v>
      </x:c>
      <x:c r="E12" s="32" t="n">
        <x:v>3</x:v>
      </x:c>
      <x:c r="F12" s="32" t="n">
        <x:v>3</x:v>
      </x:c>
      <x:c r="G12" s="32" t="n">
        <x:v>2</x:v>
      </x:c>
      <x:c r="H12" s="32" t="n">
        <x:v>2</x:v>
      </x:c>
      <x:c r="I12" s="32" t="n">
        <x:v>9</x:v>
      </x:c>
      <x:c r="J12" s="32" t="n">
        <x:v>0</x:v>
      </x:c>
      <x:c r="K12" s="32" t="n">
        <x:v>0</x:v>
      </x:c>
      <x:c r="L12" s="32" t="n">
        <x:v>0</x:v>
      </x:c>
      <x:c r="M12" s="32" t="n">
        <x:v>1</x:v>
      </x:c>
      <x:c r="N12" s="32" t="str">
        <x:v>9 = indeterminate/unknown; never interpret 9 as positive or negative ring-fencing.</x:v>
      </x:c>
    </x:row>
    <x:row r="13">
      <x:c r="A13" s="32" t="n">
        <x:v>12</x:v>
      </x:c>
      <x:c r="B13" s="32" t="str">
        <x:v>Megaport Limited (ASX: MP1)</x:v>
      </x:c>
      <x:c r="C13" s="32" t="n">
        <x:v>0</x:v>
      </x:c>
      <x:c r="D13" s="32" t="n">
        <x:v>0</x:v>
      </x:c>
      <x:c r="E13" s="32" t="n">
        <x:v>2</x:v>
      </x:c>
      <x:c r="F13" s="32" t="n">
        <x:v>2</x:v>
      </x:c>
      <x:c r="G13" s="32" t="n">
        <x:v>1</x:v>
      </x:c>
      <x:c r="H13" s="32" t="n">
        <x:v>2</x:v>
      </x:c>
      <x:c r="I13" s="32" t="n">
        <x:v>9</x:v>
      </x:c>
      <x:c r="J13" s="32" t="n">
        <x:v>0</x:v>
      </x:c>
      <x:c r="K13" s="32" t="n">
        <x:v>0</x:v>
      </x:c>
      <x:c r="L13" s="32" t="n">
        <x:v>0</x:v>
      </x:c>
      <x:c r="M13" s="32" t="n">
        <x:v>1</x:v>
      </x:c>
      <x:c r="N13" s="32" t="str">
        <x:v>9 = indeterminate/unknown; never interpret 9 as positive or negative ring-fencing.</x:v>
      </x:c>
    </x:row>
    <x:row r="14">
      <x:c r="A14" s="32" t="n">
        <x:v>13</x:v>
      </x:c>
      <x:c r="B14" s="32" t="str">
        <x:v>Data#3 Limited (ASX: DTL)</x:v>
      </x:c>
      <x:c r="C14" s="32" t="n">
        <x:v>0</x:v>
      </x:c>
      <x:c r="D14" s="32" t="n">
        <x:v>0</x:v>
      </x:c>
      <x:c r="E14" s="32" t="n">
        <x:v>2</x:v>
      </x:c>
      <x:c r="F14" s="32" t="n">
        <x:v>2</x:v>
      </x:c>
      <x:c r="G14" s="32" t="n">
        <x:v>1</x:v>
      </x:c>
      <x:c r="H14" s="32" t="n">
        <x:v>1</x:v>
      </x:c>
      <x:c r="I14" s="32" t="n">
        <x:v>9</x:v>
      </x:c>
      <x:c r="J14" s="32" t="n">
        <x:v>0</x:v>
      </x:c>
      <x:c r="K14" s="32" t="n">
        <x:v>0</x:v>
      </x:c>
      <x:c r="L14" s="32" t="n">
        <x:v>0</x:v>
      </x:c>
      <x:c r="M14" s="32" t="n">
        <x:v>1</x:v>
      </x:c>
      <x:c r="N14" s="32" t="str">
        <x:v>9 = indeterminate/unknown; never interpret 9 as positive or negative ring-fencing.</x:v>
      </x:c>
    </x:row>
    <x:row r="15">
      <x:c r="A15" s="32" t="n">
        <x:v>14</x:v>
      </x:c>
      <x:c r="B15" s="32" t="str">
        <x:v>Dicker Data Limited (ASX: DDR)</x:v>
      </x:c>
      <x:c r="C15" s="32" t="n">
        <x:v>0</x:v>
      </x:c>
      <x:c r="D15" s="32" t="n">
        <x:v>0</x:v>
      </x:c>
      <x:c r="E15" s="32" t="n">
        <x:v>0</x:v>
      </x:c>
      <x:c r="F15" s="32" t="n">
        <x:v>0</x:v>
      </x:c>
      <x:c r="G15" s="32" t="n">
        <x:v>1</x:v>
      </x:c>
      <x:c r="H15" s="32" t="n">
        <x:v>0</x:v>
      </x:c>
      <x:c r="I15" s="32" t="n">
        <x:v>9</x:v>
      </x:c>
      <x:c r="J15" s="32" t="n">
        <x:v>0</x:v>
      </x:c>
      <x:c r="K15" s="32" t="n">
        <x:v>0</x:v>
      </x:c>
      <x:c r="L15" s="32" t="n">
        <x:v>0</x:v>
      </x:c>
      <x:c r="M15" s="32" t="n">
        <x:v>0</x:v>
      </x:c>
      <x:c r="N15" s="32" t="str">
        <x:v>9 = indeterminate/unknown; never interpret 9 as positive or negative ring-fencing.</x:v>
      </x:c>
    </x:row>
    <x:row r="16">
      <x:c r="A16" s="32" t="n">
        <x:v>15</x:v>
      </x:c>
      <x:c r="B16" s="32" t="str">
        <x:v>Iress Limited (ASX: IRE)</x:v>
      </x:c>
      <x:c r="C16" s="32" t="n">
        <x:v>0</x:v>
      </x:c>
      <x:c r="D16" s="32" t="n">
        <x:v>0</x:v>
      </x:c>
      <x:c r="E16" s="32" t="n">
        <x:v>2</x:v>
      </x:c>
      <x:c r="F16" s="32" t="n">
        <x:v>2</x:v>
      </x:c>
      <x:c r="G16" s="32" t="n">
        <x:v>1</x:v>
      </x:c>
      <x:c r="H16" s="32" t="n">
        <x:v>2</x:v>
      </x:c>
      <x:c r="I16" s="32" t="n">
        <x:v>9</x:v>
      </x:c>
      <x:c r="J16" s="32" t="n">
        <x:v>0</x:v>
      </x:c>
      <x:c r="K16" s="32" t="n">
        <x:v>0</x:v>
      </x:c>
      <x:c r="L16" s="32" t="n">
        <x:v>0</x:v>
      </x:c>
      <x:c r="M16" s="32" t="n">
        <x:v>1</x:v>
      </x:c>
      <x:c r="N16" s="32" t="str">
        <x:v>9 = indeterminate/unknown; never interpret 9 as positive or negative ring-fencing.</x:v>
      </x:c>
    </x:row>
    <x:row r="17">
      <x:c r="A17" s="32" t="n">
        <x:v>16</x:v>
      </x:c>
      <x:c r="B17" s="32" t="str">
        <x:v>Yonyou Network Technology Co., Ltd. (用友网络, 600588)</x:v>
      </x:c>
      <x:c r="C17" s="32" t="n">
        <x:v>1</x:v>
      </x:c>
      <x:c r="D17" s="32" t="n">
        <x:v>1</x:v>
      </x:c>
      <x:c r="E17" s="32" t="n">
        <x:v>2</x:v>
      </x:c>
      <x:c r="F17" s="32" t="n">
        <x:v>1</x:v>
      </x:c>
      <x:c r="G17" s="32" t="n">
        <x:v>1</x:v>
      </x:c>
      <x:c r="H17" s="32" t="n">
        <x:v>0</x:v>
      </x:c>
      <x:c r="I17" s="32" t="n">
        <x:v>9</x:v>
      </x:c>
      <x:c r="J17" s="32" t="n">
        <x:v>0</x:v>
      </x:c>
      <x:c r="K17" s="32" t="n">
        <x:v>0</x:v>
      </x:c>
      <x:c r="L17" s="32" t="n">
        <x:v>0</x:v>
      </x:c>
      <x:c r="M17" s="32" t="n">
        <x:v>0</x:v>
      </x:c>
      <x:c r="N17" s="32" t="str">
        <x:v>9 = indeterminate/unknown; never interpret 9 as positive or negative ring-fencing.</x:v>
      </x:c>
    </x:row>
    <x:row r="18">
      <x:c r="A18" s="32" t="n">
        <x:v>17</x:v>
      </x:c>
      <x:c r="B18" s="32" t="str">
        <x:v>Kingdee International Software Group Co., Ltd. (金蝶国际, 0268.HK)</x:v>
      </x:c>
      <x:c r="C18" s="32" t="n">
        <x:v>1</x:v>
      </x:c>
      <x:c r="D18" s="32" t="n">
        <x:v>1</x:v>
      </x:c>
      <x:c r="E18" s="32" t="n">
        <x:v>2</x:v>
      </x:c>
      <x:c r="F18" s="32" t="n">
        <x:v>2</x:v>
      </x:c>
      <x:c r="G18" s="32" t="n">
        <x:v>1</x:v>
      </x:c>
      <x:c r="H18" s="32" t="n">
        <x:v>1</x:v>
      </x:c>
      <x:c r="I18" s="32" t="n">
        <x:v>9</x:v>
      </x:c>
      <x:c r="J18" s="32" t="n">
        <x:v>0</x:v>
      </x:c>
      <x:c r="K18" s="32" t="n">
        <x:v>0</x:v>
      </x:c>
      <x:c r="L18" s="32" t="n">
        <x:v>0</x:v>
      </x:c>
      <x:c r="M18" s="32" t="n">
        <x:v>1</x:v>
      </x:c>
      <x:c r="N18" s="32" t="str">
        <x:v>Current certified cloud-product/platform scope; validity verified to 2026-10-30; ring-fencing remains indeterminate.</x:v>
      </x:c>
    </x:row>
    <x:row r="19">
      <x:c r="A19" s="32" t="n">
        <x:v>18</x:v>
      </x:c>
      <x:c r="B19" s="32" t="str">
        <x:v>Shanghai Baosight Software Co., Ltd. (宝信软件, 600845)</x:v>
      </x:c>
      <x:c r="C19" s="32" t="n">
        <x:v>1</x:v>
      </x:c>
      <x:c r="D19" s="32" t="n">
        <x:v>0</x:v>
      </x:c>
      <x:c r="E19" s="32" t="n">
        <x:v>0</x:v>
      </x:c>
      <x:c r="F19" s="32" t="n">
        <x:v>0</x:v>
      </x:c>
      <x:c r="G19" s="32" t="n">
        <x:v>1</x:v>
      </x:c>
      <x:c r="H19" s="32" t="n">
        <x:v>0</x:v>
      </x:c>
      <x:c r="I19" s="32" t="n">
        <x:v>9</x:v>
      </x:c>
      <x:c r="J19" s="32" t="n">
        <x:v>0</x:v>
      </x:c>
      <x:c r="K19" s="32" t="n">
        <x:v>0</x:v>
      </x:c>
      <x:c r="L19" s="32" t="n">
        <x:v>0</x:v>
      </x:c>
      <x:c r="M19" s="32" t="n">
        <x:v>0</x:v>
      </x:c>
      <x:c r="N19" s="32" t="str">
        <x:v>9 = indeterminate/unknown; never interpret 9 as positive or negative ring-fencing.</x:v>
      </x:c>
    </x:row>
    <x:row r="20">
      <x:c r="A20" s="32" t="n">
        <x:v>19</x:v>
      </x:c>
      <x:c r="B20" s="32" t="str">
        <x:v>Dawning Information Industry Co., Ltd. / Sugon (中科曙光, 603019)</x:v>
      </x:c>
      <x:c r="C20" s="32" t="n">
        <x:v>1</x:v>
      </x:c>
      <x:c r="D20" s="32" t="n">
        <x:v>1</x:v>
      </x:c>
      <x:c r="E20" s="32" t="n">
        <x:v>2</x:v>
      </x:c>
      <x:c r="F20" s="32" t="n">
        <x:v>1</x:v>
      </x:c>
      <x:c r="G20" s="32" t="n">
        <x:v>1</x:v>
      </x:c>
      <x:c r="H20" s="32" t="n">
        <x:v>0</x:v>
      </x:c>
      <x:c r="I20" s="32" t="n">
        <x:v>9</x:v>
      </x:c>
      <x:c r="J20" s="32" t="n">
        <x:v>0</x:v>
      </x:c>
      <x:c r="K20" s="32" t="n">
        <x:v>0</x:v>
      </x:c>
      <x:c r="L20" s="32" t="n">
        <x:v>0</x:v>
      </x:c>
      <x:c r="M20" s="32" t="n">
        <x:v>0</x:v>
      </x:c>
      <x:c r="N20" s="32" t="str">
        <x:v>9 = indeterminate/unknown; never interpret 9 as positive or negative ring-fencing.</x:v>
      </x:c>
    </x:row>
    <x:row r="21">
      <x:c r="A21" s="32" t="n">
        <x:v>20</x:v>
      </x:c>
      <x:c r="B21" s="32" t="str">
        <x:v>Inspur Electronic Information Industry Co., Ltd. (浪潮信息, 000977)</x:v>
      </x:c>
      <x:c r="C21" s="32" t="n">
        <x:v>1</x:v>
      </x:c>
      <x:c r="D21" s="32" t="n">
        <x:v>0</x:v>
      </x:c>
      <x:c r="E21" s="32" t="n">
        <x:v>1</x:v>
      </x:c>
      <x:c r="F21" s="32" t="n">
        <x:v>1</x:v>
      </x:c>
      <x:c r="G21" s="32" t="n">
        <x:v>0</x:v>
      </x:c>
      <x:c r="H21" s="32" t="n">
        <x:v>2</x:v>
      </x:c>
      <x:c r="I21" s="32" t="n">
        <x:v>9</x:v>
      </x:c>
      <x:c r="J21" s="32" t="n">
        <x:v>0</x:v>
      </x:c>
      <x:c r="K21" s="32" t="n">
        <x:v>0</x:v>
      </x:c>
      <x:c r="L21" s="32" t="n">
        <x:v>0</x:v>
      </x:c>
      <x:c r="M21" s="32" t="n">
        <x:v>0</x:v>
      </x:c>
      <x:c r="N21" s="32" t="str">
        <x:v>9 = indeterminate/unknown; never interpret 9 as positive or negative ring-fencing.</x:v>
      </x:c>
    </x:row>
    <x:row r="22">
      <x:c r="A22" s="32" t="n">
        <x:v>21</x:v>
      </x:c>
      <x:c r="B22" s="32" t="str">
        <x:v>Senetas Corporation Limited (ASX: SEN)</x:v>
      </x:c>
      <x:c r="C22" s="32" t="n">
        <x:v>0</x:v>
      </x:c>
      <x:c r="D22" s="32" t="n">
        <x:v>0</x:v>
      </x:c>
      <x:c r="E22" s="32" t="n">
        <x:v>0</x:v>
      </x:c>
      <x:c r="F22" s="32" t="n">
        <x:v>0</x:v>
      </x:c>
      <x:c r="G22" s="32" t="n">
        <x:v>1</x:v>
      </x:c>
      <x:c r="H22" s="32" t="n">
        <x:v>0</x:v>
      </x:c>
      <x:c r="I22" s="32" t="n">
        <x:v>9</x:v>
      </x:c>
      <x:c r="J22" s="32" t="n">
        <x:v>0</x:v>
      </x:c>
      <x:c r="K22" s="32" t="n">
        <x:v>0</x:v>
      </x:c>
      <x:c r="L22" s="32" t="n">
        <x:v>0</x:v>
      </x:c>
      <x:c r="M22" s="32" t="n">
        <x:v>0</x:v>
      </x:c>
      <x:c r="N22" s="32" t="str">
        <x:v>9 = indeterminate/unknown; never interpret 9 as positive or negative ring-fencing.</x:v>
      </x:c>
    </x:row>
    <x:row r="23">
      <x:c r="A23" s="32" t="n">
        <x:v>22</x:v>
      </x:c>
      <x:c r="B23" s="32" t="str">
        <x:v>Codan Limited (ASX: CDA)</x:v>
      </x:c>
      <x:c r="C23" s="32" t="n">
        <x:v>0</x:v>
      </x:c>
      <x:c r="D23" s="32" t="n">
        <x:v>0</x:v>
      </x:c>
      <x:c r="E23" s="32" t="n">
        <x:v>3</x:v>
      </x:c>
      <x:c r="F23" s="32" t="n">
        <x:v>3</x:v>
      </x:c>
      <x:c r="G23" s="32" t="n">
        <x:v>3</x:v>
      </x:c>
      <x:c r="H23" s="32" t="n">
        <x:v>3</x:v>
      </x:c>
      <x:c r="I23" s="32" t="n">
        <x:v>9</x:v>
      </x:c>
      <x:c r="J23" s="32" t="n">
        <x:v>0</x:v>
      </x:c>
      <x:c r="K23" s="32" t="n">
        <x:v>0</x:v>
      </x:c>
      <x:c r="L23" s="32" t="n">
        <x:v>0</x:v>
      </x:c>
      <x:c r="M23" s="32" t="n">
        <x:v>1</x:v>
      </x:c>
      <x:c r="N23" s="32" t="str">
        <x:v>9 = indeterminate/unknown; never interpret 9 as positive or negative ring-fencing.</x:v>
      </x:c>
    </x:row>
    <x:row r="24">
      <x:c r="A24" s="32" t="n">
        <x:v>23</x:v>
      </x:c>
      <x:c r="B24" s="32" t="str">
        <x:v>AVA Risk Group Limited (ASX: AVA)</x:v>
      </x:c>
      <x:c r="C24" s="32" t="n">
        <x:v>0</x:v>
      </x:c>
      <x:c r="D24" s="32" t="n">
        <x:v>0</x:v>
      </x:c>
      <x:c r="E24" s="32" t="n">
        <x:v>0</x:v>
      </x:c>
      <x:c r="F24" s="32" t="n">
        <x:v>0</x:v>
      </x:c>
      <x:c r="G24" s="32" t="n">
        <x:v>1</x:v>
      </x:c>
      <x:c r="H24" s="32" t="n">
        <x:v>0</x:v>
      </x:c>
      <x:c r="I24" s="32" t="n">
        <x:v>9</x:v>
      </x:c>
      <x:c r="J24" s="32" t="n">
        <x:v>0</x:v>
      </x:c>
      <x:c r="K24" s="32" t="n">
        <x:v>0</x:v>
      </x:c>
      <x:c r="L24" s="32" t="n">
        <x:v>0</x:v>
      </x:c>
      <x:c r="M24" s="32" t="n">
        <x:v>0</x:v>
      </x:c>
      <x:c r="N24" s="32" t="str">
        <x:v>9 = indeterminate/unknown; never interpret 9 as positive or negative ring-fencing.</x:v>
      </x:c>
    </x:row>
    <x:row r="25">
      <x:c r="A25" s="32" t="n">
        <x:v>24</x:v>
      </x:c>
      <x:c r="B25" s="32" t="str">
        <x:v>DroneShield Limited (ASX: DRO)</x:v>
      </x:c>
      <x:c r="C25" s="32" t="n">
        <x:v>0</x:v>
      </x:c>
      <x:c r="D25" s="32" t="n">
        <x:v>1</x:v>
      </x:c>
      <x:c r="E25" s="32" t="n">
        <x:v>2</x:v>
      </x:c>
      <x:c r="F25" s="32" t="n">
        <x:v>2</x:v>
      </x:c>
      <x:c r="G25" s="32" t="n">
        <x:v>1</x:v>
      </x:c>
      <x:c r="H25" s="32" t="n">
        <x:v>1</x:v>
      </x:c>
      <x:c r="I25" s="32" t="n">
        <x:v>9</x:v>
      </x:c>
      <x:c r="J25" s="32" t="n">
        <x:v>0</x:v>
      </x:c>
      <x:c r="K25" s="32" t="n">
        <x:v>0</x:v>
      </x:c>
      <x:c r="L25" s="32" t="n">
        <x:v>0</x:v>
      </x:c>
      <x:c r="M25" s="32" t="n">
        <x:v>1</x:v>
      </x:c>
      <x:c r="N25" s="32" t="str">
        <x:v>9 = indeterminate/unknown; never interpret 9 as positive or negative ring-fencing.</x:v>
      </x:c>
    </x:row>
    <x:row r="26">
      <x:c r="A26" s="32" t="n">
        <x:v>25</x:v>
      </x:c>
      <x:c r="B26" s="32" t="str">
        <x:v>Pointerra Limited (ASX: 3DP)</x:v>
      </x:c>
      <x:c r="C26" s="32" t="n">
        <x:v>0</x:v>
      </x:c>
      <x:c r="D26" s="32" t="n">
        <x:v>0</x:v>
      </x:c>
      <x:c r="E26" s="32" t="n">
        <x:v>0</x:v>
      </x:c>
      <x:c r="F26" s="32" t="n">
        <x:v>0</x:v>
      </x:c>
      <x:c r="G26" s="32" t="n">
        <x:v>1</x:v>
      </x:c>
      <x:c r="H26" s="32" t="n">
        <x:v>0</x:v>
      </x:c>
      <x:c r="I26" s="32" t="n">
        <x:v>9</x:v>
      </x:c>
      <x:c r="J26" s="32" t="n">
        <x:v>0</x:v>
      </x:c>
      <x:c r="K26" s="32" t="n">
        <x:v>0</x:v>
      </x:c>
      <x:c r="L26" s="32" t="n">
        <x:v>0</x:v>
      </x:c>
      <x:c r="M26" s="32" t="n">
        <x:v>0</x:v>
      </x:c>
      <x:c r="N26" s="32" t="str">
        <x:v>9 = indeterminate/unknown; never interpret 9 as positive or negative ring-fencing.</x:v>
      </x:c>
    </x:row>
    <x:row r="27">
      <x:c r="A27" s="32" t="n">
        <x:v>26</x:v>
      </x:c>
      <x:c r="B27" s="32" t="str">
        <x:v>Hangzhou Hikvision Digital Technology Co., Ltd. (海康威视, 002415)</x:v>
      </x:c>
      <x:c r="C27" s="32" t="n">
        <x:v>1</x:v>
      </x:c>
      <x:c r="D27" s="32" t="n">
        <x:v>1</x:v>
      </x:c>
      <x:c r="E27" s="32" t="n">
        <x:v>3</x:v>
      </x:c>
      <x:c r="F27" s="32" t="n">
        <x:v>2</x:v>
      </x:c>
      <x:c r="G27" s="32" t="n">
        <x:v>1</x:v>
      </x:c>
      <x:c r="H27" s="32" t="n">
        <x:v>1</x:v>
      </x:c>
      <x:c r="I27" s="32" t="n">
        <x:v>9</x:v>
      </x:c>
      <x:c r="J27" s="32" t="n">
        <x:v>0</x:v>
      </x:c>
      <x:c r="K27" s="32" t="n">
        <x:v>0</x:v>
      </x:c>
      <x:c r="L27" s="32" t="n">
        <x:v>0</x:v>
      </x:c>
      <x:c r="M27" s="32" t="n">
        <x:v>1</x:v>
      </x:c>
      <x:c r="N27" s="32" t="str">
        <x:v>9 = indeterminate/unknown; never interpret 9 as positive or negative ring-fencing.</x:v>
      </x:c>
    </x:row>
    <x:row r="28">
      <x:c r="A28" s="32" t="n">
        <x:v>27</x:v>
      </x:c>
      <x:c r="B28" s="32" t="str">
        <x:v>Zhejiang Dahua Technology Co., Ltd. (大华股份, 002236)</x:v>
      </x:c>
      <x:c r="C28" s="32" t="n">
        <x:v>1</x:v>
      </x:c>
      <x:c r="D28" s="32" t="n">
        <x:v>1</x:v>
      </x:c>
      <x:c r="E28" s="32" t="n">
        <x:v>2</x:v>
      </x:c>
      <x:c r="F28" s="32" t="n">
        <x:v>1</x:v>
      </x:c>
      <x:c r="G28" s="32" t="n">
        <x:v>1</x:v>
      </x:c>
      <x:c r="H28" s="32" t="n">
        <x:v>0</x:v>
      </x:c>
      <x:c r="I28" s="32" t="n">
        <x:v>9</x:v>
      </x:c>
      <x:c r="J28" s="32" t="n">
        <x:v>0</x:v>
      </x:c>
      <x:c r="K28" s="32" t="n">
        <x:v>0</x:v>
      </x:c>
      <x:c r="L28" s="32" t="n">
        <x:v>0</x:v>
      </x:c>
      <x:c r="M28" s="32" t="n">
        <x:v>0</x:v>
      </x:c>
      <x:c r="N28" s="32" t="str">
        <x:v>9 = indeterminate/unknown; never interpret 9 as positive or negative ring-fencing.</x:v>
      </x:c>
    </x:row>
    <x:row r="29">
      <x:c r="A29" s="32" t="n">
        <x:v>28</x:v>
      </x:c>
      <x:c r="B29" s="32" t="str">
        <x:v>iFLYTEK Co., Ltd. (科大讯飞, 002230)</x:v>
      </x:c>
      <x:c r="C29" s="32" t="n">
        <x:v>1</x:v>
      </x:c>
      <x:c r="D29" s="32" t="n">
        <x:v>0</x:v>
      </x:c>
      <x:c r="E29" s="32" t="n">
        <x:v>1</x:v>
      </x:c>
      <x:c r="F29" s="32" t="n">
        <x:v>1</x:v>
      </x:c>
      <x:c r="G29" s="32" t="n">
        <x:v>2</x:v>
      </x:c>
      <x:c r="H29" s="32" t="n">
        <x:v>1</x:v>
      </x:c>
      <x:c r="I29" s="32" t="n">
        <x:v>9</x:v>
      </x:c>
      <x:c r="J29" s="32" t="n">
        <x:v>0</x:v>
      </x:c>
      <x:c r="K29" s="32" t="n">
        <x:v>0</x:v>
      </x:c>
      <x:c r="L29" s="32" t="n">
        <x:v>0</x:v>
      </x:c>
      <x:c r="M29" s="32" t="n">
        <x:v>0</x:v>
      </x:c>
      <x:c r="N29" s="32" t="str">
        <x:v>9 = indeterminate/unknown; never interpret 9 as positive or negative ring-fencing.</x:v>
      </x:c>
    </x:row>
    <x:row r="30">
      <x:c r="A30" s="32" t="n">
        <x:v>29</x:v>
      </x:c>
      <x:c r="B30" s="32" t="str">
        <x:v>Unisplendour Corporation Limited (紫光股份, 000938)</x:v>
      </x:c>
      <x:c r="C30" s="32" t="n">
        <x:v>1</x:v>
      </x:c>
      <x:c r="D30" s="32" t="n">
        <x:v>0</x:v>
      </x:c>
      <x:c r="E30" s="32" t="n">
        <x:v>1</x:v>
      </x:c>
      <x:c r="F30" s="32" t="n">
        <x:v>1</x:v>
      </x:c>
      <x:c r="G30" s="32" t="n">
        <x:v>3</x:v>
      </x:c>
      <x:c r="H30" s="32" t="n">
        <x:v>3</x:v>
      </x:c>
      <x:c r="I30" s="32" t="n">
        <x:v>9</x:v>
      </x:c>
      <x:c r="J30" s="32" t="n">
        <x:v>0</x:v>
      </x:c>
      <x:c r="K30" s="32" t="n">
        <x:v>0</x:v>
      </x:c>
      <x:c r="L30" s="32" t="n">
        <x:v>0</x:v>
      </x:c>
      <x:c r="M30" s="32" t="n">
        <x:v>0</x:v>
      </x:c>
      <x:c r="N30" s="32" t="str">
        <x:v>9 = indeterminate/unknown; never interpret 9 as positive or negative ring-fencing.</x:v>
      </x:c>
    </x:row>
    <x:row r="31">
      <x:c r="A31" s="32" t="n">
        <x:v>30</x:v>
      </x:c>
      <x:c r="B31" s="32" t="str">
        <x:v>ZTE Corporation (中兴通讯, 000063)</x:v>
      </x:c>
      <x:c r="C31" s="32" t="n">
        <x:v>1</x:v>
      </x:c>
      <x:c r="D31" s="32" t="n">
        <x:v>1</x:v>
      </x:c>
      <x:c r="E31" s="32" t="n">
        <x:v>2</x:v>
      </x:c>
      <x:c r="F31" s="32" t="n">
        <x:v>2</x:v>
      </x:c>
      <x:c r="G31" s="32" t="n">
        <x:v>0</x:v>
      </x:c>
      <x:c r="H31" s="32" t="n">
        <x:v>5</x:v>
      </x:c>
      <x:c r="I31" s="32" t="n">
        <x:v>0</x:v>
      </x:c>
      <x:c r="J31" s="32" t="n">
        <x:v>0</x:v>
      </x:c>
      <x:c r="K31" s="32" t="n">
        <x:v>0</x:v>
      </x:c>
      <x:c r="L31" s="32" t="n">
        <x:v>0</x:v>
      </x:c>
      <x:c r="M31" s="32" t="n">
        <x:v>1</x:v>
      </x:c>
      <x:c r="N31" s="32" t="str">
        <x:v>9 = indeterminate/unknown; never interpret 9 as positive or negative ring-fencing.</x:v>
      </x:c>
    </x:row>
    <x:row r="32">
      <x:c r="A32" s="32" t="n">
        <x:v>31</x:v>
      </x:c>
      <x:c r="B32" s="32" t="str">
        <x:v>Sovereign Cloud Holdings Limited / AUCloud (ASX: SOV)</x:v>
      </x:c>
      <x:c r="C32" s="32" t="n">
        <x:v>0</x:v>
      </x:c>
      <x:c r="D32" s="32" t="n">
        <x:v>0</x:v>
      </x:c>
      <x:c r="E32" s="32" t="n">
        <x:v>2</x:v>
      </x:c>
      <x:c r="F32" s="32" t="n">
        <x:v>2</x:v>
      </x:c>
      <x:c r="G32" s="32" t="n">
        <x:v>2</x:v>
      </x:c>
      <x:c r="H32" s="32" t="n">
        <x:v>0</x:v>
      </x:c>
      <x:c r="I32" s="32" t="n">
        <x:v>9</x:v>
      </x:c>
      <x:c r="J32" s="32" t="n">
        <x:v>0</x:v>
      </x:c>
      <x:c r="K32" s="32" t="n">
        <x:v>0</x:v>
      </x:c>
      <x:c r="L32" s="32" t="n">
        <x:v>0</x:v>
      </x:c>
      <x:c r="M32" s="32" t="n">
        <x:v>1</x:v>
      </x:c>
      <x:c r="N32" s="32" t="str">
        <x:v>9 = indeterminate/unknown; never interpret 9 as positive or negative ring-fencing.</x:v>
      </x:c>
    </x:row>
    <x:row r="33">
      <x:c r="A33" s="32" t="n">
        <x:v>32</x:v>
      </x:c>
      <x:c r="B33" s="32" t="str">
        <x:v>archTIS Limited (ASX: ATC)</x:v>
      </x:c>
      <x:c r="C33" s="32" t="n">
        <x:v>0</x:v>
      </x:c>
      <x:c r="D33" s="32" t="n">
        <x:v>0</x:v>
      </x:c>
      <x:c r="E33" s="32" t="n">
        <x:v>1</x:v>
      </x:c>
      <x:c r="F33" s="32" t="n">
        <x:v>1</x:v>
      </x:c>
      <x:c r="G33" s="32" t="n">
        <x:v>1</x:v>
      </x:c>
      <x:c r="H33" s="32" t="n">
        <x:v>0</x:v>
      </x:c>
      <x:c r="I33" s="32" t="n">
        <x:v>9</x:v>
      </x:c>
      <x:c r="J33" s="32" t="n">
        <x:v>0</x:v>
      </x:c>
      <x:c r="K33" s="32" t="n">
        <x:v>0</x:v>
      </x:c>
      <x:c r="L33" s="32" t="n">
        <x:v>0</x:v>
      </x:c>
      <x:c r="M33" s="32" t="n">
        <x:v>0</x:v>
      </x:c>
      <x:c r="N33" s="32" t="str">
        <x:v>9 = indeterminate/unknown; never interpret 9 as positive or negative ring-fencing.</x:v>
      </x:c>
    </x:row>
    <x:row r="34">
      <x:c r="A34" s="32" t="n">
        <x:v>33</x:v>
      </x:c>
      <x:c r="B34" s="32" t="str">
        <x:v>FirstWave Cloud Technology Limited (ASX: FCT)</x:v>
      </x:c>
      <x:c r="C34" s="32" t="n">
        <x:v>0</x:v>
      </x:c>
      <x:c r="D34" s="32" t="n">
        <x:v>1</x:v>
      </x:c>
      <x:c r="E34" s="32" t="n">
        <x:v>2</x:v>
      </x:c>
      <x:c r="F34" s="32" t="n">
        <x:v>1</x:v>
      </x:c>
      <x:c r="G34" s="32" t="n">
        <x:v>1</x:v>
      </x:c>
      <x:c r="H34" s="32" t="n">
        <x:v>0</x:v>
      </x:c>
      <x:c r="I34" s="32" t="n">
        <x:v>9</x:v>
      </x:c>
      <x:c r="J34" s="32" t="n">
        <x:v>0</x:v>
      </x:c>
      <x:c r="K34" s="32" t="n">
        <x:v>0</x:v>
      </x:c>
      <x:c r="L34" s="32" t="n">
        <x:v>0</x:v>
      </x:c>
      <x:c r="M34" s="32" t="n">
        <x:v>0</x:v>
      </x:c>
      <x:c r="N34" s="32" t="str">
        <x:v>9 = indeterminate/unknown; never interpret 9 as positive or negative ring-fencing.</x:v>
      </x:c>
    </x:row>
    <x:row r="35">
      <x:c r="A35" s="32" t="n">
        <x:v>34</x:v>
      </x:c>
      <x:c r="B35" s="32" t="str">
        <x:v>Prophecy International Holdings Limited (ASX: PRO)</x:v>
      </x:c>
      <x:c r="C35" s="32" t="n">
        <x:v>0</x:v>
      </x:c>
      <x:c r="D35" s="32" t="n">
        <x:v>1</x:v>
      </x:c>
      <x:c r="E35" s="32" t="n">
        <x:v>2</x:v>
      </x:c>
      <x:c r="F35" s="32" t="n">
        <x:v>2</x:v>
      </x:c>
      <x:c r="G35" s="32" t="n">
        <x:v>2</x:v>
      </x:c>
      <x:c r="H35" s="32" t="n">
        <x:v>2</x:v>
      </x:c>
      <x:c r="I35" s="32" t="n">
        <x:v>9</x:v>
      </x:c>
      <x:c r="J35" s="32" t="n">
        <x:v>0</x:v>
      </x:c>
      <x:c r="K35" s="32" t="n">
        <x:v>0</x:v>
      </x:c>
      <x:c r="L35" s="32" t="n">
        <x:v>0</x:v>
      </x:c>
      <x:c r="M35" s="32" t="n">
        <x:v>1</x:v>
      </x:c>
      <x:c r="N35" s="32" t="str">
        <x:v>9 = indeterminate/unknown; never interpret 9 as positive or negative ring-fencing.</x:v>
      </x:c>
    </x:row>
    <x:row r="36">
      <x:c r="A36" s="32" t="n">
        <x:v>35</x:v>
      </x:c>
      <x:c r="B36" s="32" t="str">
        <x:v>Tesserent Limited (Thales Australia / former ASX: TNT)</x:v>
      </x:c>
      <x:c r="C36" s="32" t="n">
        <x:v>0</x:v>
      </x:c>
      <x:c r="D36" s="32" t="n">
        <x:v>0</x:v>
      </x:c>
      <x:c r="E36" s="32" t="n">
        <x:v>0</x:v>
      </x:c>
      <x:c r="F36" s="32" t="n">
        <x:v>0</x:v>
      </x:c>
      <x:c r="G36" s="32" t="n">
        <x:v>0</x:v>
      </x:c>
      <x:c r="H36" s="32" t="n">
        <x:v>0</x:v>
      </x:c>
      <x:c r="I36" s="32" t="n">
        <x:v>9</x:v>
      </x:c>
      <x:c r="J36" s="32" t="n">
        <x:v>0</x:v>
      </x:c>
      <x:c r="K36" s="32" t="n">
        <x:v>0</x:v>
      </x:c>
      <x:c r="L36" s="32" t="n">
        <x:v>0</x:v>
      </x:c>
      <x:c r="M36" s="32" t="n">
        <x:v>0</x:v>
      </x:c>
      <x:c r="N36" s="32" t="str">
        <x:v>9 = indeterminate/unknown; never interpret 9 as positive or negative ring-fencing.</x:v>
      </x:c>
    </x:row>
    <x:row r="37">
      <x:c r="A37" s="32" t="n">
        <x:v>36</x:v>
      </x:c>
      <x:c r="B37" s="32" t="str">
        <x:v>Qi-Anxin Technology Group Inc. (奇安信, 688561)</x:v>
      </x:c>
      <x:c r="C37" s="32" t="n">
        <x:v>1</x:v>
      </x:c>
      <x:c r="D37" s="32" t="n">
        <x:v>0</x:v>
      </x:c>
      <x:c r="E37" s="32" t="n">
        <x:v>2</x:v>
      </x:c>
      <x:c r="F37" s="32" t="n">
        <x:v>2</x:v>
      </x:c>
      <x:c r="G37" s="32" t="n">
        <x:v>3</x:v>
      </x:c>
      <x:c r="H37" s="32" t="n">
        <x:v>3</x:v>
      </x:c>
      <x:c r="I37" s="32" t="n">
        <x:v>9</x:v>
      </x:c>
      <x:c r="J37" s="32" t="n">
        <x:v>0</x:v>
      </x:c>
      <x:c r="K37" s="32" t="n">
        <x:v>0</x:v>
      </x:c>
      <x:c r="L37" s="32" t="n">
        <x:v>0</x:v>
      </x:c>
      <x:c r="M37" s="32" t="n">
        <x:v>1</x:v>
      </x:c>
      <x:c r="N37" s="32" t="str">
        <x:v>9 = indeterminate/unknown; never interpret 9 as positive or negative ring-fencing.</x:v>
      </x:c>
    </x:row>
    <x:row r="38">
      <x:c r="A38" s="32" t="n">
        <x:v>37</x:v>
      </x:c>
      <x:c r="B38" s="32" t="str">
        <x:v>Venustech Group Inc. (启明星辰, 002439)</x:v>
      </x:c>
      <x:c r="C38" s="32" t="n">
        <x:v>1</x:v>
      </x:c>
      <x:c r="D38" s="32" t="n">
        <x:v>1</x:v>
      </x:c>
      <x:c r="E38" s="32" t="n">
        <x:v>2</x:v>
      </x:c>
      <x:c r="F38" s="32" t="n">
        <x:v>1</x:v>
      </x:c>
      <x:c r="G38" s="32" t="n">
        <x:v>1</x:v>
      </x:c>
      <x:c r="H38" s="32" t="n">
        <x:v>0</x:v>
      </x:c>
      <x:c r="I38" s="32" t="n">
        <x:v>9</x:v>
      </x:c>
      <x:c r="J38" s="32" t="n">
        <x:v>0</x:v>
      </x:c>
      <x:c r="K38" s="32" t="n">
        <x:v>0</x:v>
      </x:c>
      <x:c r="L38" s="32" t="n">
        <x:v>0</x:v>
      </x:c>
      <x:c r="M38" s="32" t="n">
        <x:v>0</x:v>
      </x:c>
      <x:c r="N38" s="32" t="str">
        <x:v>9 = indeterminate/unknown; never interpret 9 as positive or negative ring-fencing.</x:v>
      </x:c>
    </x:row>
    <x:row r="39">
      <x:c r="A39" s="32" t="n">
        <x:v>38</x:v>
      </x:c>
      <x:c r="B39" s="32" t="str">
        <x:v>Sangfor Technologies Inc. (深信服, 300454)</x:v>
      </x:c>
      <x:c r="C39" s="32" t="n">
        <x:v>1</x:v>
      </x:c>
      <x:c r="D39" s="32" t="n">
        <x:v>1</x:v>
      </x:c>
      <x:c r="E39" s="32" t="n">
        <x:v>3</x:v>
      </x:c>
      <x:c r="F39" s="32" t="n">
        <x:v>3</x:v>
      </x:c>
      <x:c r="G39" s="32" t="n">
        <x:v>2</x:v>
      </x:c>
      <x:c r="H39" s="32" t="n">
        <x:v>2</x:v>
      </x:c>
      <x:c r="I39" s="32" t="n">
        <x:v>9</x:v>
      </x:c>
      <x:c r="J39" s="32" t="n">
        <x:v>0</x:v>
      </x:c>
      <x:c r="K39" s="32" t="n">
        <x:v>0</x:v>
      </x:c>
      <x:c r="L39" s="32" t="n">
        <x:v>0</x:v>
      </x:c>
      <x:c r="M39" s="32" t="n">
        <x:v>1</x:v>
      </x:c>
      <x:c r="N39" s="32" t="str">
        <x:v>9 = indeterminate/unknown; never interpret 9 as positive or negative ring-fencing.</x:v>
      </x:c>
    </x:row>
    <x:row r="40">
      <x:c r="A40" s="32" t="n">
        <x:v>39</x:v>
      </x:c>
      <x:c r="B40" s="32" t="str">
        <x:v>Topsec Technologies Group Inc. (天融信, 002212)</x:v>
      </x:c>
      <x:c r="C40" s="32" t="n">
        <x:v>1</x:v>
      </x:c>
      <x:c r="D40" s="32" t="n">
        <x:v>0</x:v>
      </x:c>
      <x:c r="E40" s="32" t="n">
        <x:v>0</x:v>
      </x:c>
      <x:c r="F40" s="32" t="n">
        <x:v>0</x:v>
      </x:c>
      <x:c r="G40" s="32" t="n">
        <x:v>1</x:v>
      </x:c>
      <x:c r="H40" s="32" t="n">
        <x:v>0</x:v>
      </x:c>
      <x:c r="I40" s="32" t="n">
        <x:v>9</x:v>
      </x:c>
      <x:c r="J40" s="32" t="n">
        <x:v>0</x:v>
      </x:c>
      <x:c r="K40" s="32" t="n">
        <x:v>0</x:v>
      </x:c>
      <x:c r="L40" s="32" t="n">
        <x:v>0</x:v>
      </x:c>
      <x:c r="M40" s="32" t="n">
        <x:v>0</x:v>
      </x:c>
      <x:c r="N40" s="32" t="str">
        <x:v>9 = indeterminate/unknown; never interpret 9 as positive or negative ring-fencing.</x:v>
      </x:c>
    </x:row>
    <x:row r="41">
      <x:c r="A41" s="32" t="n">
        <x:v>40</x:v>
      </x:c>
      <x:c r="B41" s="32" t="str">
        <x:v>NSFOCUS Technologies Group Co., Ltd. (绿盟科技, 300369)</x:v>
      </x:c>
      <x:c r="C41" s="32" t="n">
        <x:v>1</x:v>
      </x:c>
      <x:c r="D41" s="32" t="n">
        <x:v>0</x:v>
      </x:c>
      <x:c r="E41" s="32" t="n">
        <x:v>0</x:v>
      </x:c>
      <x:c r="F41" s="32" t="n">
        <x:v>0</x:v>
      </x:c>
      <x:c r="G41" s="32" t="n">
        <x:v>1</x:v>
      </x:c>
      <x:c r="H41" s="32" t="n">
        <x:v>0</x:v>
      </x:c>
      <x:c r="I41" s="32" t="n">
        <x:v>9</x:v>
      </x:c>
      <x:c r="J41" s="32" t="n">
        <x:v>0</x:v>
      </x:c>
      <x:c r="K41" s="32" t="n">
        <x:v>0</x:v>
      </x:c>
      <x:c r="L41" s="32" t="n">
        <x:v>0</x:v>
      </x:c>
      <x:c r="M41" s="32" t="n">
        <x:v>0</x:v>
      </x:c>
      <x:c r="N41" s="32" t="str">
        <x:v>9 = indeterminate/unknown; never interpret 9 as positive or negative ring-fencing.</x:v>
      </x:c>
    </x:row>
    <x:row r="42">
      <x:c r="A42" s="32" t="n">
        <x:v>41</x:v>
      </x:c>
      <x:c r="B42" s="32" t="str">
        <x:v>WiseTech Global Limited (ASX: WTC)</x:v>
      </x:c>
      <x:c r="C42" s="32" t="n">
        <x:v>0</x:v>
      </x:c>
      <x:c r="D42" s="32" t="n">
        <x:v>1</x:v>
      </x:c>
      <x:c r="E42" s="32" t="n">
        <x:v>2</x:v>
      </x:c>
      <x:c r="F42" s="32" t="n">
        <x:v>1</x:v>
      </x:c>
      <x:c r="G42" s="32" t="n">
        <x:v>1</x:v>
      </x:c>
      <x:c r="H42" s="32" t="n">
        <x:v>0</x:v>
      </x:c>
      <x:c r="I42" s="32" t="n">
        <x:v>9</x:v>
      </x:c>
      <x:c r="J42" s="32" t="n">
        <x:v>0</x:v>
      </x:c>
      <x:c r="K42" s="32" t="n">
        <x:v>0</x:v>
      </x:c>
      <x:c r="L42" s="32" t="n">
        <x:v>0</x:v>
      </x:c>
      <x:c r="M42" s="32" t="n">
        <x:v>0</x:v>
      </x:c>
      <x:c r="N42" s="32" t="str">
        <x:v>9 = indeterminate/unknown; never interpret 9 as positive or negative ring-fencing.</x:v>
      </x:c>
    </x:row>
    <x:row r="43">
      <x:c r="A43" s="32" t="n">
        <x:v>42</x:v>
      </x:c>
      <x:c r="B43" s="32" t="str">
        <x:v>Brambles Limited (ASX: BXB)</x:v>
      </x:c>
      <x:c r="C43" s="32" t="n">
        <x:v>0</x:v>
      </x:c>
      <x:c r="D43" s="32" t="n">
        <x:v>0</x:v>
      </x:c>
      <x:c r="E43" s="32" t="n">
        <x:v>0</x:v>
      </x:c>
      <x:c r="F43" s="32" t="n">
        <x:v>0</x:v>
      </x:c>
      <x:c r="G43" s="32" t="n">
        <x:v>1</x:v>
      </x:c>
      <x:c r="H43" s="32" t="n">
        <x:v>0</x:v>
      </x:c>
      <x:c r="I43" s="32" t="n">
        <x:v>9</x:v>
      </x:c>
      <x:c r="J43" s="32" t="n">
        <x:v>0</x:v>
      </x:c>
      <x:c r="K43" s="32" t="n">
        <x:v>0</x:v>
      </x:c>
      <x:c r="L43" s="32" t="n">
        <x:v>0</x:v>
      </x:c>
      <x:c r="M43" s="32" t="n">
        <x:v>0</x:v>
      </x:c>
      <x:c r="N43" s="32" t="str">
        <x:v>9 = indeterminate/unknown; never interpret 9 as positive or negative ring-fencing.</x:v>
      </x:c>
    </x:row>
    <x:row r="44">
      <x:c r="A44" s="32" t="n">
        <x:v>43</x:v>
      </x:c>
      <x:c r="B44" s="32" t="str">
        <x:v>APA Group (ASX: APA)</x:v>
      </x:c>
      <x:c r="C44" s="32" t="n">
        <x:v>0</x:v>
      </x:c>
      <x:c r="D44" s="32" t="n">
        <x:v>0</x:v>
      </x:c>
      <x:c r="E44" s="32" t="n">
        <x:v>0</x:v>
      </x:c>
      <x:c r="F44" s="32" t="n">
        <x:v>0</x:v>
      </x:c>
      <x:c r="G44" s="32" t="n">
        <x:v>1</x:v>
      </x:c>
      <x:c r="H44" s="32" t="n">
        <x:v>0</x:v>
      </x:c>
      <x:c r="I44" s="32" t="n">
        <x:v>9</x:v>
      </x:c>
      <x:c r="J44" s="32" t="n">
        <x:v>0</x:v>
      </x:c>
      <x:c r="K44" s="32" t="n">
        <x:v>0</x:v>
      </x:c>
      <x:c r="L44" s="32" t="n">
        <x:v>0</x:v>
      </x:c>
      <x:c r="M44" s="32" t="n">
        <x:v>0</x:v>
      </x:c>
      <x:c r="N44" s="32" t="str">
        <x:v>9 = indeterminate/unknown; never interpret 9 as positive or negative ring-fencing.</x:v>
      </x:c>
    </x:row>
    <x:row r="45">
      <x:c r="A45" s="32" t="n">
        <x:v>44</x:v>
      </x:c>
      <x:c r="B45" s="32" t="str">
        <x:v>Origin Energy Limited (ASX: ORG)</x:v>
      </x:c>
      <x:c r="C45" s="32" t="n">
        <x:v>0</x:v>
      </x:c>
      <x:c r="D45" s="32" t="n">
        <x:v>0</x:v>
      </x:c>
      <x:c r="E45" s="32" t="n">
        <x:v>0</x:v>
      </x:c>
      <x:c r="F45" s="32" t="n">
        <x:v>0</x:v>
      </x:c>
      <x:c r="G45" s="32" t="n">
        <x:v>1</x:v>
      </x:c>
      <x:c r="H45" s="32" t="n">
        <x:v>0</x:v>
      </x:c>
      <x:c r="I45" s="32" t="n">
        <x:v>9</x:v>
      </x:c>
      <x:c r="J45" s="32" t="n">
        <x:v>0</x:v>
      </x:c>
      <x:c r="K45" s="32" t="n">
        <x:v>0</x:v>
      </x:c>
      <x:c r="L45" s="32" t="n">
        <x:v>0</x:v>
      </x:c>
      <x:c r="M45" s="32" t="n">
        <x:v>0</x:v>
      </x:c>
      <x:c r="N45" s="32" t="str">
        <x:v>9 = indeterminate/unknown; never interpret 9 as positive or negative ring-fencing.</x:v>
      </x:c>
    </x:row>
    <x:row r="46">
      <x:c r="A46" s="32" t="n">
        <x:v>45</x:v>
      </x:c>
      <x:c r="B46" s="32" t="str">
        <x:v>Qantas Airways Limited (ASX: QAN)</x:v>
      </x:c>
      <x:c r="C46" s="32" t="n">
        <x:v>0</x:v>
      </x:c>
      <x:c r="D46" s="32" t="n">
        <x:v>0</x:v>
      </x:c>
      <x:c r="E46" s="32" t="n">
        <x:v>0</x:v>
      </x:c>
      <x:c r="F46" s="32" t="n">
        <x:v>0</x:v>
      </x:c>
      <x:c r="G46" s="32" t="n">
        <x:v>0</x:v>
      </x:c>
      <x:c r="H46" s="32" t="n">
        <x:v>0</x:v>
      </x:c>
      <x:c r="I46" s="32" t="n">
        <x:v>9</x:v>
      </x:c>
      <x:c r="J46" s="32" t="n">
        <x:v>0</x:v>
      </x:c>
      <x:c r="K46" s="32" t="n">
        <x:v>0</x:v>
      </x:c>
      <x:c r="L46" s="32" t="n">
        <x:v>0</x:v>
      </x:c>
      <x:c r="M46" s="32" t="n">
        <x:v>0</x:v>
      </x:c>
      <x:c r="N46" s="32" t="str">
        <x:v>9 = indeterminate/unknown; never interpret 9 as positive or negative ring-fencing.</x:v>
      </x:c>
    </x:row>
    <x:row r="47">
      <x:c r="A47" s="32" t="n">
        <x:v>46</x:v>
      </x:c>
      <x:c r="B47" s="32" t="str">
        <x:v>SF Holding Co., Ltd. (顺丰控股, 002352)</x:v>
      </x:c>
      <x:c r="C47" s="32" t="n">
        <x:v>1</x:v>
      </x:c>
      <x:c r="D47" s="32" t="n">
        <x:v>1</x:v>
      </x:c>
      <x:c r="E47" s="32" t="n">
        <x:v>2</x:v>
      </x:c>
      <x:c r="F47" s="32" t="n">
        <x:v>2</x:v>
      </x:c>
      <x:c r="G47" s="32" t="n">
        <x:v>1</x:v>
      </x:c>
      <x:c r="H47" s="32" t="n">
        <x:v>5</x:v>
      </x:c>
      <x:c r="I47" s="32" t="n">
        <x:v>0</x:v>
      </x:c>
      <x:c r="J47" s="32" t="n">
        <x:v>0</x:v>
      </x:c>
      <x:c r="K47" s="32" t="n">
        <x:v>0</x:v>
      </x:c>
      <x:c r="L47" s="32" t="n">
        <x:v>0</x:v>
      </x:c>
      <x:c r="M47" s="32" t="n">
        <x:v>1</x:v>
      </x:c>
      <x:c r="N47" s="32" t="str">
        <x:v>9 = indeterminate/unknown; never interpret 9 as positive or negative ring-fencing.</x:v>
      </x:c>
    </x:row>
    <x:row r="48">
      <x:c r="A48" s="32" t="n">
        <x:v>47</x:v>
      </x:c>
      <x:c r="B48" s="32" t="str">
        <x:v>NARI Technology Co., Ltd. (国电南瑞, 600406)</x:v>
      </x:c>
      <x:c r="C48" s="32" t="n">
        <x:v>1</x:v>
      </x:c>
      <x:c r="D48" s="32" t="n">
        <x:v>0</x:v>
      </x:c>
      <x:c r="E48" s="32" t="n">
        <x:v>0</x:v>
      </x:c>
      <x:c r="F48" s="32" t="n">
        <x:v>0</x:v>
      </x:c>
      <x:c r="G48" s="32" t="n">
        <x:v>1</x:v>
      </x:c>
      <x:c r="H48" s="32" t="n">
        <x:v>0</x:v>
      </x:c>
      <x:c r="I48" s="32" t="n">
        <x:v>9</x:v>
      </x:c>
      <x:c r="J48" s="32" t="n">
        <x:v>0</x:v>
      </x:c>
      <x:c r="K48" s="32" t="n">
        <x:v>0</x:v>
      </x:c>
      <x:c r="L48" s="32" t="n">
        <x:v>0</x:v>
      </x:c>
      <x:c r="M48" s="32" t="n">
        <x:v>0</x:v>
      </x:c>
      <x:c r="N48" s="32" t="str">
        <x:v>9 = indeterminate/unknown; never interpret 9 as positive or negative ring-fencing.</x:v>
      </x:c>
    </x:row>
    <x:row r="49">
      <x:c r="A49" s="32" t="n">
        <x:v>48</x:v>
      </x:c>
      <x:c r="B49" s="32" t="str">
        <x:v>COSCO SHIPPING Holdings Co., Ltd. (中远海控, 601919)</x:v>
      </x:c>
      <x:c r="C49" s="32" t="n">
        <x:v>1</x:v>
      </x:c>
      <x:c r="D49" s="32" t="n">
        <x:v>0</x:v>
      </x:c>
      <x:c r="E49" s="32" t="n">
        <x:v>2</x:v>
      </x:c>
      <x:c r="F49" s="32" t="n">
        <x:v>2</x:v>
      </x:c>
      <x:c r="G49" s="32" t="n">
        <x:v>3</x:v>
      </x:c>
      <x:c r="H49" s="32" t="n">
        <x:v>0</x:v>
      </x:c>
      <x:c r="I49" s="32" t="n">
        <x:v>9</x:v>
      </x:c>
      <x:c r="J49" s="32" t="n">
        <x:v>0</x:v>
      </x:c>
      <x:c r="K49" s="32" t="n">
        <x:v>0</x:v>
      </x:c>
      <x:c r="L49" s="32" t="n">
        <x:v>0</x:v>
      </x:c>
      <x:c r="M49" s="32" t="n">
        <x:v>1</x:v>
      </x:c>
      <x:c r="N49" s="32" t="str">
        <x:v>9 = indeterminate/unknown; never interpret 9 as positive or negative ring-fencing.</x:v>
      </x:c>
    </x:row>
    <x:row r="50">
      <x:c r="A50" s="32" t="n">
        <x:v>49</x:v>
      </x:c>
      <x:c r="B50" s="32" t="str">
        <x:v>Inovance Technology Co., Ltd. (汇川技术, 300124)</x:v>
      </x:c>
      <x:c r="C50" s="32" t="n">
        <x:v>1</x:v>
      </x:c>
      <x:c r="D50" s="32" t="n">
        <x:v>0</x:v>
      </x:c>
      <x:c r="E50" s="32" t="n">
        <x:v>2</x:v>
      </x:c>
      <x:c r="F50" s="32" t="n">
        <x:v>2</x:v>
      </x:c>
      <x:c r="G50" s="32" t="n">
        <x:v>3</x:v>
      </x:c>
      <x:c r="H50" s="32" t="n">
        <x:v>3</x:v>
      </x:c>
      <x:c r="I50" s="32" t="n">
        <x:v>9</x:v>
      </x:c>
      <x:c r="J50" s="32" t="n">
        <x:v>0</x:v>
      </x:c>
      <x:c r="K50" s="32" t="n">
        <x:v>0</x:v>
      </x:c>
      <x:c r="L50" s="32" t="n">
        <x:v>0</x:v>
      </x:c>
      <x:c r="M50" s="32" t="n">
        <x:v>1</x:v>
      </x:c>
      <x:c r="N50" s="32" t="str">
        <x:v>9 = indeterminate/unknown; never interpret 9 as positive or negative ring-fencing.</x:v>
      </x:c>
    </x:row>
    <x:row r="51">
      <x:c r="A51" s="32" t="n">
        <x:v>50</x:v>
      </x:c>
      <x:c r="B51" s="32" t="str">
        <x:v>Haier Smart Home Co., Ltd. (海尔智家, 600690)</x:v>
      </x:c>
      <x:c r="C51" s="32" t="n">
        <x:v>1</x:v>
      </x:c>
      <x:c r="D51" s="32" t="n">
        <x:v>1</x:v>
      </x:c>
      <x:c r="E51" s="32" t="n">
        <x:v>2</x:v>
      </x:c>
      <x:c r="F51" s="32" t="n">
        <x:v>2</x:v>
      </x:c>
      <x:c r="G51" s="32" t="n">
        <x:v>4</x:v>
      </x:c>
      <x:c r="H51" s="32" t="n">
        <x:v>4</x:v>
      </x:c>
      <x:c r="I51" s="32" t="n">
        <x:v>0</x:v>
      </x:c>
      <x:c r="J51" s="32" t="n">
        <x:v>0</x:v>
      </x:c>
      <x:c r="K51" s="32" t="n">
        <x:v>1</x:v>
      </x:c>
      <x:c r="L51" s="32" t="n">
        <x:v>1</x:v>
      </x:c>
      <x:c r="M51" s="32" t="n">
        <x:v>1</x:v>
      </x:c>
      <x:c r="N51" s="32" t="str">
        <x:v>9 = indeterminate/unknown; never interpret 9 as positive or negative ring-fencing.</x:v>
      </x:c>
    </x:row>
  </x:sheetData>
  <x:pageMargins left="0.7" right="0.7" top="0.75" bottom="0.75" header="0.3" footer="0.3"/>
  <x:tableParts count="1">
    <x:tablePart xmlns:r="http://schemas.openxmlformats.org/officeDocument/2006/relationships" r:id="Recef08891d2540a8"/>
  </x:tableParts>
</x:worksheet>
</file>

<file path=xl/worksheets/sheet5.xml><?xml version="1.0" encoding="utf-8"?>
<x:worksheet xmlns:x="http://schemas.openxmlformats.org/spreadsheetml/2006/main">
  <x:sheetFormatPr defaultRowHeight="15"/>
  <x:cols>
    <x:col min="1" max="1" width="10" hidden="0" customWidth="1"/>
    <x:col min="2" max="2" width="38" hidden="0" customWidth="1"/>
    <x:col min="3" max="3" width="16" hidden="0" customWidth="1"/>
    <x:col min="4" max="4" width="12" hidden="0" customWidth="1"/>
    <x:col min="5" max="5" width="24" hidden="0" customWidth="1"/>
    <x:col min="6" max="6" width="52" hidden="0" customWidth="1"/>
    <x:col min="7" max="7" width="58" hidden="0" customWidth="1"/>
    <x:col min="8" max="8" width="52" hidden="0" customWidth="1"/>
    <x:col min="9" max="9" width="14" hidden="0" customWidth="1"/>
  </x:cols>
  <x:sheetData>
    <x:row r="1">
      <x:c r="A1" s="28" t="str">
        <x:v>Dataset No.</x:v>
      </x:c>
      <x:c r="B1" s="28" t="str">
        <x:v>Company</x:v>
      </x:c>
      <x:c r="C1" s="28" t="str">
        <x:v>Source Type</x:v>
      </x:c>
      <x:c r="D1" s="28" t="str">
        <x:v>Evidence Tier</x:v>
      </x:c>
      <x:c r="E1" s="28" t="str">
        <x:v>Publisher / Owner</x:v>
      </x:c>
      <x:c r="F1" s="28" t="str">
        <x:v>URL</x:v>
      </x:c>
      <x:c r="G1" s="28" t="str">
        <x:v>What the source establishes</x:v>
      </x:c>
      <x:c r="H1" s="28" t="str">
        <x:v>What it does NOT establish</x:v>
      </x:c>
      <x:c r="I1" s="28" t="str">
        <x:v>Audit date</x:v>
      </x:c>
    </x:row>
    <x:row r="2">
      <x:c r="A2" s="32" t="n">
        <x:v>1</x:v>
      </x:c>
      <x:c r="B2" s="32" t="str">
        <x:v>Telstra Corporation Limited (ASX: TLS)</x:v>
      </x:c>
      <x:c r="C2" s="32" t="str">
        <x:v>Primary</x:v>
      </x:c>
      <x:c r="D2" s="32" t="str">
        <x:v>B</x:v>
      </x:c>
      <x:c r="E2" s="32" t="str">
        <x:v>First-party corporate disclosure</x:v>
      </x:c>
      <x:c r="F2" s="32" t="str">
        <x:v>https://www.telstra.com.au/business-enterprise/support/customer-assurance</x:v>
      </x:c>
      <x:c r="G2" s="32" t="str">
        <x:v>ISMS covering people/process/technology/facilities supporting products/services for enterprise/business/government customers across named Telstra entities and core countries.</x:v>
      </x:c>
      <x:c r="H2" s="32" t="str">
        <x:v>Strategic intent; broader parent/group scope unless explicitly named</x:v>
      </x:c>
      <x:c r="I2" s="32" t="str">
        <x:v>2026-09-14</x:v>
      </x:c>
    </x:row>
    <x:row r="3">
      <x:c r="A3" s="32" t="n">
        <x:v>2</x:v>
      </x:c>
      <x:c r="B3" s="32" t="str">
        <x:v>TPG Telecom Limited (ASX: TPG)</x:v>
      </x:c>
      <x:c r="C3" s="32" t="str">
        <x:v>Search/audit finding</x:v>
      </x:c>
      <x:c r="D3" s="32" t="str">
        <x:v>D</x:v>
      </x:c>
      <x:c r="E3" s="32" t="str">
        <x:v>No qualifying public source retained</x:v>
      </x:c>
      <x:c r="F3" s="32" t="str"/>
      <x:c r="G3" s="32" t="str">
        <x:v>No qualifying evidence sufficient for a stronger coding state was located.</x:v>
      </x:c>
      <x:c r="H3" s="32" t="str">
        <x:v>Absence of public evidence is not evidence of non-certification.</x:v>
      </x:c>
      <x:c r="I3" s="32" t="str">
        <x:v>2026-09-14</x:v>
      </x:c>
    </x:row>
    <x:row r="4">
      <x:c r="A4" s="32" t="n">
        <x:v>3</x:v>
      </x:c>
      <x:c r="B4" s="32" t="str">
        <x:v>Singtel Optus Pty Limited (Optus)</x:v>
      </x:c>
      <x:c r="C4" s="32" t="str">
        <x:v>Primary</x:v>
      </x:c>
      <x:c r="D4" s="32" t="str">
        <x:v>B</x:v>
      </x:c>
      <x:c r="E4" s="32" t="str">
        <x:v>First-party corporate disclosure</x:v>
      </x:c>
      <x:c r="F4" s="32" t="str">
        <x:v>https://www.optus.com.au/about/media-centre/media-releases/2008/02/optus-attains-global-security-standard-for-data-centre-co-location-services</x:v>
      </x:c>
      <x:c r="G4" s="32" t="str">
        <x:v>EXPAN co-location / hosting services; official 2008 evidence is service-specific and does not establish enterprise-wide Optus certification.</x:v>
      </x:c>
      <x:c r="H4" s="32" t="str">
        <x:v>Strategic intent; broader parent/group scope unless explicitly named</x:v>
      </x:c>
      <x:c r="I4" s="32" t="str">
        <x:v>2026-09-14</x:v>
      </x:c>
    </x:row>
    <x:row r="5">
      <x:c r="A5" s="32" t="n">
        <x:v>4</x:v>
      </x:c>
      <x:c r="B5" s="32" t="str">
        <x:v>NEXTDC Limited (ASX: NXT)</x:v>
      </x:c>
      <x:c r="C5" s="32" t="str">
        <x:v>Primary</x:v>
      </x:c>
      <x:c r="D5" s="32" t="str">
        <x:v>A</x:v>
      </x:c>
      <x:c r="E5" s="32" t="str">
        <x:v>Certification body / certificate</x:v>
      </x:c>
      <x:c r="F5" s="32" t="str">
        <x:v>https://www.nextdc.com/hubfs/Certificate_ITGOV40020_20250425.pdf</x:v>
      </x:c>
      <x:c r="G5" s="32" t="str">
        <x:v>Management, operation, maintenance and hosting of NEXTDC data centres; appendix lists current facilities.</x:v>
      </x:c>
      <x:c r="H5" s="32" t="str">
        <x:v>Strategic intent; broader parent/group scope unless explicitly named</x:v>
      </x:c>
      <x:c r="I5" s="32" t="str">
        <x:v>2026-09-14</x:v>
      </x:c>
    </x:row>
    <x:row r="6">
      <x:c r="A6" s="32" t="n">
        <x:v>4</x:v>
      </x:c>
      <x:c r="B6" s="32" t="str">
        <x:v>NEXTDC Limited (ASX: NXT)</x:v>
      </x:c>
      <x:c r="C6" s="32" t="str">
        <x:v>Secondary</x:v>
      </x:c>
      <x:c r="D6" s="32" t="str">
        <x:v>A</x:v>
      </x:c>
      <x:c r="E6" s="32" t="str">
        <x:v>First-party corporate disclosure</x:v>
      </x:c>
      <x:c r="F6" s="32" t="str">
        <x:v>https://www.nextdc.com/certifications</x:v>
      </x:c>
      <x:c r="G6" s="32" t="str">
        <x:v>Strongest certificate-level example of broad/core-business scope in the sample.</x:v>
      </x:c>
      <x:c r="H6" s="32" t="str">
        <x:v>Certificate-level metadata where not shown.</x:v>
      </x:c>
      <x:c r="I6" s="32" t="str">
        <x:v>2026-09-14</x:v>
      </x:c>
    </x:row>
    <x:row r="7">
      <x:c r="A7" s="32" t="n">
        <x:v>5</x:v>
      </x:c>
      <x:c r="B7" s="32" t="str">
        <x:v>Macquarie Technology Group (ASX: MAQ)</x:v>
      </x:c>
      <x:c r="C7" s="32" t="str">
        <x:v>Primary</x:v>
      </x:c>
      <x:c r="D7" s="32" t="str">
        <x:v>A</x:v>
      </x:c>
      <x:c r="E7" s="32" t="str">
        <x:v>Certification body / certificate</x:v>
      </x:c>
      <x:c r="F7" s="32" t="str">
        <x:v>https://www.macquariedatacentres.com/wp-content/uploads/sites/5/2025/10/iso-27001.pdf</x:v>
      </x:c>
      <x:c r="G7" s="32" t="str">
        <x:v>Macquarie Cloud Services provision of private/public cloud, colocation and hybrid hosting; Macquarie Data Centres secure data centre facilities.</x:v>
      </x:c>
      <x:c r="H7" s="32" t="str">
        <x:v>Strategic intent; broader parent/group scope unless explicitly named</x:v>
      </x:c>
      <x:c r="I7" s="32" t="str">
        <x:v>2026-09-14</x:v>
      </x:c>
    </x:row>
    <x:row r="8">
      <x:c r="A8" s="32" t="n">
        <x:v>6</x:v>
      </x:c>
      <x:c r="B8" s="32" t="str">
        <x:v>China Telecom Corporation Limited (中国电信, 601728)</x:v>
      </x:c>
      <x:c r="C8" s="32" t="str">
        <x:v>Search/audit finding</x:v>
      </x:c>
      <x:c r="D8" s="32" t="str">
        <x:v>C</x:v>
      </x:c>
      <x:c r="E8" s="32" t="str">
        <x:v>No qualifying public source retained</x:v>
      </x:c>
      <x:c r="F8" s="32" t="str"/>
      <x:c r="G8" s="32" t="str">
        <x:v>No qualifying evidence sufficient for a stronger coding state was located.</x:v>
      </x:c>
      <x:c r="H8" s="32" t="str">
        <x:v>Absence of public evidence is not evidence of non-certification.</x:v>
      </x:c>
      <x:c r="I8" s="32" t="str">
        <x:v>2026-09-14</x:v>
      </x:c>
    </x:row>
    <x:row r="9">
      <x:c r="A9" s="32" t="n">
        <x:v>7</x:v>
      </x:c>
      <x:c r="B9" s="32" t="str">
        <x:v>China Mobile Communications Group (中国移动, 600941)</x:v>
      </x:c>
      <x:c r="C9" s="32" t="str">
        <x:v>Primary</x:v>
      </x:c>
      <x:c r="D9" s="32" t="str">
        <x:v>A</x:v>
      </x:c>
      <x:c r="E9" s="32" t="str">
        <x:v>Certification body / certificate</x:v>
      </x:c>
      <x:c r="F9" s="32" t="str">
        <x:v>https://www.sgs.com/zh-hk/news/2025/12/sgs-awards-iso-27001-to-china-mobile-international-limited</x:v>
      </x:c>
      <x:c r="G9" s="32" t="str">
        <x:v>China Mobile International Limited (wholly owned subsidiary): development/maintenance of CMI business and management-support IT applications and management of related IT infrastructure.</x:v>
      </x:c>
      <x:c r="H9" s="32" t="str">
        <x:v>Strategic intent; broader parent/group scope unless explicitly named</x:v>
      </x:c>
      <x:c r="I9" s="32" t="str">
        <x:v>2026-09-14</x:v>
      </x:c>
    </x:row>
    <x:row r="10">
      <x:c r="A10" s="32" t="n">
        <x:v>8</x:v>
      </x:c>
      <x:c r="B10" s="32" t="str">
        <x:v>China United Network Communications (中国联通, 600050)</x:v>
      </x:c>
      <x:c r="C10" s="32" t="str">
        <x:v>Search/audit finding</x:v>
      </x:c>
      <x:c r="D10" s="32" t="str">
        <x:v>C</x:v>
      </x:c>
      <x:c r="E10" s="32" t="str">
        <x:v>No qualifying public source retained</x:v>
      </x:c>
      <x:c r="F10" s="32" t="str"/>
      <x:c r="G10" s="32" t="str">
        <x:v>No qualifying evidence sufficient for a stronger coding state was located.</x:v>
      </x:c>
      <x:c r="H10" s="32" t="str">
        <x:v>Absence of public evidence is not evidence of non-certification.</x:v>
      </x:c>
      <x:c r="I10" s="32" t="str">
        <x:v>2026-09-14</x:v>
      </x:c>
    </x:row>
    <x:row r="11">
      <x:c r="A11" s="32" t="n">
        <x:v>9</x:v>
      </x:c>
      <x:c r="B11" s="32" t="str">
        <x:v>Alibaba Cloud Computing Co., Ltd. (阿里云计算有限公司)</x:v>
      </x:c>
      <x:c r="C11" s="32" t="str">
        <x:v>Primary</x:v>
      </x:c>
      <x:c r="D11" s="32" t="str">
        <x:v>A</x:v>
      </x:c>
      <x:c r="E11" s="32" t="str">
        <x:v>Certification body / certificate</x:v>
      </x:c>
      <x:c r="F11" s="32" t="str">
        <x:v>https://www.bsigroup.com/en-ID/products-and-services/assessment-and-certification/validation-and-verification/client-directory-profile/ALIBAB-0047453910-001/</x:v>
      </x:c>
      <x:c r="G11" s="32" t="str">
        <x:v>Provision of cloud-computing data-centre operation and maintenance services based on third-party IDC.</x:v>
      </x:c>
      <x:c r="H11" s="32" t="str">
        <x:v>Strategic intent; broader parent/group scope unless explicitly named</x:v>
      </x:c>
      <x:c r="I11" s="32" t="str">
        <x:v>2026-09-14</x:v>
      </x:c>
    </x:row>
    <x:row r="12">
      <x:c r="A12" s="32" t="n">
        <x:v>10</x:v>
      </x:c>
      <x:c r="B12" s="32" t="str">
        <x:v>Tencent Cloud Computing (Beijing) Co., Ltd. (腾讯云计算（北京）有限责任公司)</x:v>
      </x:c>
      <x:c r="C12" s="32" t="str">
        <x:v>Search/audit finding</x:v>
      </x:c>
      <x:c r="D12" s="32" t="str">
        <x:v>C</x:v>
      </x:c>
      <x:c r="E12" s="32" t="str">
        <x:v>No qualifying public source retained</x:v>
      </x:c>
      <x:c r="F12" s="32" t="str"/>
      <x:c r="G12" s="32" t="str">
        <x:v>No qualifying evidence sufficient for a stronger coding state was located.</x:v>
      </x:c>
      <x:c r="H12" s="32" t="str">
        <x:v>Absence of public evidence is not evidence of non-certification.</x:v>
      </x:c>
      <x:c r="I12" s="32" t="str">
        <x:v>2026-09-14</x:v>
      </x:c>
    </x:row>
    <x:row r="13">
      <x:c r="A13" s="32" t="n">
        <x:v>10</x:v>
      </x:c>
      <x:c r="B13" s="32" t="str">
        <x:v>Tencent Cloud Computing (Beijing) Co., Ltd. (腾讯云计算（北京）有限责任公司)</x:v>
      </x:c>
      <x:c r="C13" s="32" t="str">
        <x:v>Secondary</x:v>
      </x:c>
      <x:c r="D13" s="32" t="str">
        <x:v>C</x:v>
      </x:c>
      <x:c r="E13" s="32" t="str">
        <x:v>First-party corporate disclosure</x:v>
      </x:c>
      <x:c r="F13" s="32" t="str">
        <x:v>https://cloud.tencent.com/document/product/382/38292</x:v>
      </x:c>
      <x:c r="G13" s="32" t="str">
        <x:v>First-party certification claim is usable as evidence of a claim, but not as certificate-level metadata.</x:v>
      </x:c>
      <x:c r="H13" s="32" t="str">
        <x:v>Certificate-level metadata where not shown.</x:v>
      </x:c>
      <x:c r="I13" s="32" t="str">
        <x:v>2026-09-14</x:v>
      </x:c>
    </x:row>
    <x:row r="14">
      <x:c r="A14" s="32" t="n">
        <x:v>11</x:v>
      </x:c>
      <x:c r="B14" s="32" t="str">
        <x:v>Technology One Limited (ASX: TNE)</x:v>
      </x:c>
      <x:c r="C14" s="32" t="str">
        <x:v>Primary</x:v>
      </x:c>
      <x:c r="D14" s="32" t="str">
        <x:v>A</x:v>
      </x:c>
      <x:c r="E14" s="32" t="str">
        <x:v>Certification body / certificate</x:v>
      </x:c>
      <x:c r="F14" s="32" t="str">
        <x:v>https://www.technologyonecorp.com/__data/assets/pdf_file/0007/136681/ISO27001.pdf</x:v>
      </x:c>
      <x:c r="G14" s="32" t="str">
        <x:v>ISMS for provision of SaaS solutions within a Cloud Architecture by R&amp;D Platform Services teams.</x:v>
      </x:c>
      <x:c r="H14" s="32" t="str">
        <x:v>Strategic intent; broader parent/group scope unless explicitly named</x:v>
      </x:c>
      <x:c r="I14" s="32" t="str">
        <x:v>2026-09-14</x:v>
      </x:c>
    </x:row>
    <x:row r="15">
      <x:c r="A15" s="32" t="n">
        <x:v>12</x:v>
      </x:c>
      <x:c r="B15" s="32" t="str">
        <x:v>Megaport Limited (ASX: MP1)</x:v>
      </x:c>
      <x:c r="C15" s="32" t="str">
        <x:v>Primary</x:v>
      </x:c>
      <x:c r="D15" s="32" t="str">
        <x:v>B</x:v>
      </x:c>
      <x:c r="E15" s="32" t="str">
        <x:v>First-party corporate disclosure</x:v>
      </x:c>
      <x:c r="F15" s="32" t="str">
        <x:v>https://www.megaport.com/wp-content/uploads/2021/08/FY21_Corporate_Governance_Statement.pdf</x:v>
      </x:c>
      <x:c r="G15" s="32" t="str">
        <x:v>Megaport states ISO/IEC 27001:2013 certification, renewed 9 Dec 2023; exact current certificate scope/expiry not established.</x:v>
      </x:c>
      <x:c r="H15" s="32" t="str">
        <x:v>Strategic intent; broader parent/group scope unless explicitly named</x:v>
      </x:c>
      <x:c r="I15" s="32" t="str">
        <x:v>2026-09-14</x:v>
      </x:c>
    </x:row>
    <x:row r="16">
      <x:c r="A16" s="32" t="n">
        <x:v>13</x:v>
      </x:c>
      <x:c r="B16" s="32" t="str">
        <x:v>Data#3 Limited (ASX: DTL)</x:v>
      </x:c>
      <x:c r="C16" s="32" t="str">
        <x:v>Search/audit finding</x:v>
      </x:c>
      <x:c r="D16" s="32" t="str">
        <x:v>B</x:v>
      </x:c>
      <x:c r="E16" s="32" t="str">
        <x:v>No qualifying public source retained</x:v>
      </x:c>
      <x:c r="F16" s="32" t="str"/>
      <x:c r="G16" s="32" t="str">
        <x:v>No qualifying evidence sufficient for a stronger coding state was located.</x:v>
      </x:c>
      <x:c r="H16" s="32" t="str">
        <x:v>Absence of public evidence is not evidence of non-certification.</x:v>
      </x:c>
      <x:c r="I16" s="32" t="str">
        <x:v>2026-09-14</x:v>
      </x:c>
    </x:row>
    <x:row r="17">
      <x:c r="A17" s="32" t="n">
        <x:v>13</x:v>
      </x:c>
      <x:c r="B17" s="32" t="str">
        <x:v>Data#3 Limited (ASX: DTL)</x:v>
      </x:c>
      <x:c r="C17" s="32" t="str">
        <x:v>Secondary</x:v>
      </x:c>
      <x:c r="D17" s="32" t="str">
        <x:v>B</x:v>
      </x:c>
      <x:c r="E17" s="32" t="str">
        <x:v>First-party corporate disclosure</x:v>
      </x:c>
      <x:c r="F17" s="32" t="str">
        <x:v>https://www.data3.com/services/managed-services/</x:v>
      </x:c>
      <x:c r="G17" s="32" t="str">
        <x:v>Scope is restricted to documented IPT and Managed Services context; no basis to infer broader NOC/SOC/cloud coverage.</x:v>
      </x:c>
      <x:c r="H17" s="32" t="str">
        <x:v>Certificate-level metadata where not shown.</x:v>
      </x:c>
      <x:c r="I17" s="32" t="str">
        <x:v>2026-09-14</x:v>
      </x:c>
    </x:row>
    <x:row r="18">
      <x:c r="A18" s="32" t="n">
        <x:v>14</x:v>
      </x:c>
      <x:c r="B18" s="32" t="str">
        <x:v>Dicker Data Limited (ASX: DDR)</x:v>
      </x:c>
      <x:c r="C18" s="32" t="str">
        <x:v>Search/audit finding</x:v>
      </x:c>
      <x:c r="D18" s="32" t="str">
        <x:v>D</x:v>
      </x:c>
      <x:c r="E18" s="32" t="str">
        <x:v>No qualifying public source retained</x:v>
      </x:c>
      <x:c r="F18" s="32" t="str"/>
      <x:c r="G18" s="32" t="str">
        <x:v>No qualifying evidence sufficient for a stronger coding state was located.</x:v>
      </x:c>
      <x:c r="H18" s="32" t="str">
        <x:v>Absence of public evidence is not evidence of non-certification.</x:v>
      </x:c>
      <x:c r="I18" s="32" t="str">
        <x:v>2026-09-14</x:v>
      </x:c>
    </x:row>
    <x:row r="19">
      <x:c r="A19" s="32" t="n">
        <x:v>15</x:v>
      </x:c>
      <x:c r="B19" s="32" t="str">
        <x:v>Iress Limited (ASX: IRE)</x:v>
      </x:c>
      <x:c r="C19" s="32" t="str">
        <x:v>Search/audit finding</x:v>
      </x:c>
      <x:c r="D19" s="32" t="str">
        <x:v>B</x:v>
      </x:c>
      <x:c r="E19" s="32" t="str">
        <x:v>No qualifying public source retained</x:v>
      </x:c>
      <x:c r="F19" s="32" t="str"/>
      <x:c r="G19" s="32" t="str">
        <x:v>No qualifying evidence sufficient for a stronger coding state was located.</x:v>
      </x:c>
      <x:c r="H19" s="32" t="str">
        <x:v>Absence of public evidence is not evidence of non-certification.</x:v>
      </x:c>
      <x:c r="I19" s="32" t="str">
        <x:v>2026-09-14</x:v>
      </x:c>
    </x:row>
    <x:row r="20">
      <x:c r="A20" s="32" t="n">
        <x:v>15</x:v>
      </x:c>
      <x:c r="B20" s="32" t="str">
        <x:v>Iress Limited (ASX: IRE)</x:v>
      </x:c>
      <x:c r="C20" s="32" t="str">
        <x:v>Secondary</x:v>
      </x:c>
      <x:c r="D20" s="32" t="str">
        <x:v>B</x:v>
      </x:c>
      <x:c r="E20" s="32" t="str">
        <x:v>First-party corporate disclosure</x:v>
      </x:c>
      <x:c r="F20" s="32" t="str">
        <x:v>https://www.iress.com/media/wa3h0m1w/2024-annual-report.pdf</x:v>
      </x:c>
      <x:c r="G20" s="32" t="str">
        <x:v>As of audit date, current 2022 certificate number/expiry was not independently located; do not code as current certified without an explicit certificate.</x:v>
      </x:c>
      <x:c r="H20" s="32" t="str">
        <x:v>Certificate-level metadata where not shown.</x:v>
      </x:c>
      <x:c r="I20" s="32" t="str">
        <x:v>2026-09-14</x:v>
      </x:c>
    </x:row>
    <x:row r="21">
      <x:c r="A21" s="32" t="n">
        <x:v>16</x:v>
      </x:c>
      <x:c r="B21" s="32" t="str">
        <x:v>Yonyou Network Technology Co., Ltd. (用友网络, 600588)</x:v>
      </x:c>
      <x:c r="C21" s="32" t="str">
        <x:v>Primary</x:v>
      </x:c>
      <x:c r="D21" s="32" t="str">
        <x:v>B</x:v>
      </x:c>
      <x:c r="E21" s="32" t="str">
        <x:v>First-party corporate disclosure</x:v>
      </x:c>
      <x:c r="F21" s="32" t="str">
        <x:v>https://www.yonyou.com/yy/trust.html</x:v>
      </x:c>
      <x:c r="G21" s="32" t="str">
        <x:v>Yonyou publicly lists ISO/IEC 27001 among its international certifications; exact certificate scope, ID and validity not established.</x:v>
      </x:c>
      <x:c r="H21" s="32" t="str">
        <x:v>Strategic intent; broader parent/group scope unless explicitly named</x:v>
      </x:c>
      <x:c r="I21" s="32" t="str">
        <x:v>2026-09-14</x:v>
      </x:c>
    </x:row>
    <x:row r="22">
      <x:c r="A22" s="32" t="n">
        <x:v>16</x:v>
      </x:c>
      <x:c r="B22" s="32" t="str">
        <x:v>Yonyou Network Technology Co., Ltd. (用友网络, 600588)</x:v>
      </x:c>
      <x:c r="C22" s="32" t="str">
        <x:v>Secondary</x:v>
      </x:c>
      <x:c r="D22" s="32" t="str">
        <x:v>B</x:v>
      </x:c>
      <x:c r="E22" s="32" t="str">
        <x:v>First-party corporate disclosure</x:v>
      </x:c>
      <x:c r="F22" s="32" t="str">
        <x:v>https://www.yonyou.com/subject/trial.html</x:v>
      </x:c>
      <x:c r="G22" s="32" t="str">
        <x:v>Certification claim supported; certificate-level topology not available.</x:v>
      </x:c>
      <x:c r="H22" s="32" t="str">
        <x:v>Certificate-level metadata where not shown.</x:v>
      </x:c>
      <x:c r="I22" s="32" t="str">
        <x:v>2026-09-14</x:v>
      </x:c>
    </x:row>
    <x:row r="23">
      <x:c r="A23" s="32" t="n">
        <x:v>17</x:v>
      </x:c>
      <x:c r="B23" s="32" t="str">
        <x:v>Kingdee International Software Group Co., Ltd. (金蝶国际, 0268.HK)</x:v>
      </x:c>
      <x:c r="C23" s="32" t="str">
        <x:v>Search/audit finding</x:v>
      </x:c>
      <x:c r="D23" s="32" t="str">
        <x:v>B</x:v>
      </x:c>
      <x:c r="E23" s="32" t="str">
        <x:v>No qualifying public source retained</x:v>
      </x:c>
      <x:c r="F23" s="32" t="str"/>
      <x:c r="G23" s="32" t="str">
        <x:v>No qualifying evidence sufficient for a stronger coding state was located.</x:v>
      </x:c>
      <x:c r="H23" s="32" t="str">
        <x:v>Absence of public evidence is not evidence of non-certification.</x:v>
      </x:c>
      <x:c r="I23" s="32" t="str">
        <x:v>2026-09-14</x:v>
      </x:c>
    </x:row>
    <x:row r="24">
      <x:c r="A24" s="32" t="n">
        <x:v>18</x:v>
      </x:c>
      <x:c r="B24" s="32" t="str">
        <x:v>Shanghai Baosight Software Co., Ltd. (宝信软件, 600845)</x:v>
      </x:c>
      <x:c r="C24" s="32" t="str">
        <x:v>Search/audit finding</x:v>
      </x:c>
      <x:c r="D24" s="32" t="str">
        <x:v>D</x:v>
      </x:c>
      <x:c r="E24" s="32" t="str">
        <x:v>No qualifying public source retained</x:v>
      </x:c>
      <x:c r="F24" s="32" t="str"/>
      <x:c r="G24" s="32" t="str">
        <x:v>No qualifying evidence sufficient for a stronger coding state was located.</x:v>
      </x:c>
      <x:c r="H24" s="32" t="str">
        <x:v>Absence of public evidence is not evidence of non-certification.</x:v>
      </x:c>
      <x:c r="I24" s="32" t="str">
        <x:v>2026-09-14</x:v>
      </x:c>
    </x:row>
    <x:row r="25">
      <x:c r="A25" s="32" t="n">
        <x:v>19</x:v>
      </x:c>
      <x:c r="B25" s="32" t="str">
        <x:v>Dawning Information Industry Co., Ltd. / Sugon (中科曙光, 603019)</x:v>
      </x:c>
      <x:c r="C25" s="32" t="str">
        <x:v>Search/audit finding</x:v>
      </x:c>
      <x:c r="D25" s="32" t="str">
        <x:v>B</x:v>
      </x:c>
      <x:c r="E25" s="32" t="str">
        <x:v>No qualifying public source retained</x:v>
      </x:c>
      <x:c r="F25" s="32" t="str"/>
      <x:c r="G25" s="32" t="str">
        <x:v>No qualifying evidence sufficient for a stronger coding state was located.</x:v>
      </x:c>
      <x:c r="H25" s="32" t="str">
        <x:v>Absence of public evidence is not evidence of non-certification.</x:v>
      </x:c>
      <x:c r="I25" s="32" t="str">
        <x:v>2026-09-14</x:v>
      </x:c>
    </x:row>
    <x:row r="26">
      <x:c r="A26" s="32" t="n">
        <x:v>19</x:v>
      </x:c>
      <x:c r="B26" s="32" t="str">
        <x:v>Dawning Information Industry Co., Ltd. / Sugon (中科曙光, 603019)</x:v>
      </x:c>
      <x:c r="C26" s="32" t="str">
        <x:v>Secondary</x:v>
      </x:c>
      <x:c r="D26" s="32" t="str">
        <x:v>B</x:v>
      </x:c>
      <x:c r="E26" s="32" t="str">
        <x:v>First-party corporate disclosure</x:v>
      </x:c>
      <x:c r="F26" s="32" t="str">
        <x:v>https://www.sugon.com/en/about/quality.shtml</x:v>
      </x:c>
      <x:c r="G26" s="32" t="str">
        <x:v>Use as certification claim, not as evidence of a particular scope topology.</x:v>
      </x:c>
      <x:c r="H26" s="32" t="str">
        <x:v>Certificate-level metadata where not shown.</x:v>
      </x:c>
      <x:c r="I26" s="32" t="str">
        <x:v>2026-09-14</x:v>
      </x:c>
    </x:row>
    <x:row r="27">
      <x:c r="A27" s="32" t="n">
        <x:v>20</x:v>
      </x:c>
      <x:c r="B27" s="32" t="str">
        <x:v>Inspur Electronic Information Industry Co., Ltd. (浪潮信息, 000977)</x:v>
      </x:c>
      <x:c r="C27" s="32" t="str">
        <x:v>Search/audit finding</x:v>
      </x:c>
      <x:c r="D27" s="32" t="str">
        <x:v>C</x:v>
      </x:c>
      <x:c r="E27" s="32" t="str">
        <x:v>No qualifying public source retained</x:v>
      </x:c>
      <x:c r="F27" s="32" t="str"/>
      <x:c r="G27" s="32" t="str">
        <x:v>No qualifying evidence sufficient for a stronger coding state was located.</x:v>
      </x:c>
      <x:c r="H27" s="32" t="str">
        <x:v>Absence of public evidence is not evidence of non-certification.</x:v>
      </x:c>
      <x:c r="I27" s="32" t="str">
        <x:v>2026-09-14</x:v>
      </x:c>
    </x:row>
    <x:row r="28">
      <x:c r="A28" s="32" t="n">
        <x:v>21</x:v>
      </x:c>
      <x:c r="B28" s="32" t="str">
        <x:v>Senetas Corporation Limited (ASX: SEN)</x:v>
      </x:c>
      <x:c r="C28" s="32" t="str">
        <x:v>Primary</x:v>
      </x:c>
      <x:c r="D28" s="32" t="str">
        <x:v>D</x:v>
      </x:c>
      <x:c r="E28" s="32" t="str">
        <x:v>First-party corporate disclosure</x:v>
      </x:c>
      <x:c r="F28" s="32" t="str">
        <x:v>https://senetas.com/compliance-certifications/</x:v>
      </x:c>
      <x:c r="G28" s="32" t="str">
        <x:v>No qualifying ISO/IEC 27001 certification evidence located in this audit.</x:v>
      </x:c>
      <x:c r="H28" s="32" t="str">
        <x:v>Strategic intent; broader parent/group scope unless explicitly named</x:v>
      </x:c>
      <x:c r="I28" s="32" t="str">
        <x:v>2026-09-14</x:v>
      </x:c>
    </x:row>
    <x:row r="29">
      <x:c r="A29" s="32" t="n">
        <x:v>22</x:v>
      </x:c>
      <x:c r="B29" s="32" t="str">
        <x:v>Codan Limited (ASX: CDA)</x:v>
      </x:c>
      <x:c r="C29" s="32" t="str">
        <x:v>Search/audit finding</x:v>
      </x:c>
      <x:c r="D29" s="32" t="str">
        <x:v>A</x:v>
      </x:c>
      <x:c r="E29" s="32" t="str">
        <x:v>No qualifying public source retained</x:v>
      </x:c>
      <x:c r="F29" s="32" t="str"/>
      <x:c r="G29" s="32" t="str">
        <x:v>No qualifying evidence sufficient for a stronger coding state was located.</x:v>
      </x:c>
      <x:c r="H29" s="32" t="str">
        <x:v>Absence of public evidence is not evidence of non-certification.</x:v>
      </x:c>
      <x:c r="I29" s="32" t="str">
        <x:v>2026-09-14</x:v>
      </x:c>
    </x:row>
    <x:row r="30">
      <x:c r="A30" s="32" t="n">
        <x:v>23</x:v>
      </x:c>
      <x:c r="B30" s="32" t="str">
        <x:v>AVA Risk Group Limited (ASX: AVA)</x:v>
      </x:c>
      <x:c r="C30" s="32" t="str">
        <x:v>Search/audit finding</x:v>
      </x:c>
      <x:c r="D30" s="32" t="str">
        <x:v>D</x:v>
      </x:c>
      <x:c r="E30" s="32" t="str">
        <x:v>No qualifying public source retained</x:v>
      </x:c>
      <x:c r="F30" s="32" t="str"/>
      <x:c r="G30" s="32" t="str">
        <x:v>No qualifying evidence sufficient for a stronger coding state was located.</x:v>
      </x:c>
      <x:c r="H30" s="32" t="str">
        <x:v>Absence of public evidence is not evidence of non-certification.</x:v>
      </x:c>
      <x:c r="I30" s="32" t="str">
        <x:v>2026-09-14</x:v>
      </x:c>
    </x:row>
    <x:row r="31">
      <x:c r="A31" s="32" t="n">
        <x:v>24</x:v>
      </x:c>
      <x:c r="B31" s="32" t="str">
        <x:v>DroneShield Limited (ASX: DRO)</x:v>
      </x:c>
      <x:c r="C31" s="32" t="str">
        <x:v>Primary</x:v>
      </x:c>
      <x:c r="D31" s="32" t="str">
        <x:v>B</x:v>
      </x:c>
      <x:c r="E31" s="32" t="str">
        <x:v>First-party corporate disclosure</x:v>
      </x:c>
      <x:c r="F31" s="32" t="str">
        <x:v>https://www.droneshield.com/company/security-and-compliance</x:v>
      </x:c>
      <x:c r="G31" s="32" t="str">
        <x:v>ISO/IEC 27001 certified; public company page says scope covers design, development and support of DroneShield counter-UAS technologies and associated information systems.</x:v>
      </x:c>
      <x:c r="H31" s="32" t="str">
        <x:v>Strategic intent; broader parent/group scope unless explicitly named</x:v>
      </x:c>
      <x:c r="I31" s="32" t="str">
        <x:v>2026-09-14</x:v>
      </x:c>
    </x:row>
    <x:row r="32">
      <x:c r="A32" s="32" t="n">
        <x:v>25</x:v>
      </x:c>
      <x:c r="B32" s="32" t="str">
        <x:v>Pointerra Limited (ASX: 3DP)</x:v>
      </x:c>
      <x:c r="C32" s="32" t="str">
        <x:v>Search/audit finding</x:v>
      </x:c>
      <x:c r="D32" s="32" t="str">
        <x:v>D</x:v>
      </x:c>
      <x:c r="E32" s="32" t="str">
        <x:v>No qualifying public source retained</x:v>
      </x:c>
      <x:c r="F32" s="32" t="str"/>
      <x:c r="G32" s="32" t="str">
        <x:v>No qualifying evidence sufficient for a stronger coding state was located.</x:v>
      </x:c>
      <x:c r="H32" s="32" t="str">
        <x:v>Absence of public evidence is not evidence of non-certification.</x:v>
      </x:c>
      <x:c r="I32" s="32" t="str">
        <x:v>2026-09-14</x:v>
      </x:c>
    </x:row>
    <x:row r="33">
      <x:c r="A33" s="32" t="n">
        <x:v>26</x:v>
      </x:c>
      <x:c r="B33" s="32" t="str">
        <x:v>Hangzhou Hikvision Digital Technology Co., Ltd. (海康威视, 002415)</x:v>
      </x:c>
      <x:c r="C33" s="32" t="str">
        <x:v>Search/audit finding</x:v>
      </x:c>
      <x:c r="D33" s="32" t="str">
        <x:v>A</x:v>
      </x:c>
      <x:c r="E33" s="32" t="str">
        <x:v>No qualifying public source retained</x:v>
      </x:c>
      <x:c r="F33" s="32" t="str"/>
      <x:c r="G33" s="32" t="str">
        <x:v>No qualifying evidence sufficient for a stronger coding state was located.</x:v>
      </x:c>
      <x:c r="H33" s="32" t="str">
        <x:v>Absence of public evidence is not evidence of non-certification.</x:v>
      </x:c>
      <x:c r="I33" s="32" t="str">
        <x:v>2026-09-14</x:v>
      </x:c>
    </x:row>
    <x:row r="34">
      <x:c r="A34" s="32" t="n">
        <x:v>27</x:v>
      </x:c>
      <x:c r="B34" s="32" t="str">
        <x:v>Zhejiang Dahua Technology Co., Ltd. (大华股份, 002236)</x:v>
      </x:c>
      <x:c r="C34" s="32" t="str">
        <x:v>Search/audit finding</x:v>
      </x:c>
      <x:c r="D34" s="32" t="str">
        <x:v>B</x:v>
      </x:c>
      <x:c r="E34" s="32" t="str">
        <x:v>No qualifying public source retained</x:v>
      </x:c>
      <x:c r="F34" s="32" t="str"/>
      <x:c r="G34" s="32" t="str">
        <x:v>No qualifying evidence sufficient for a stronger coding state was located.</x:v>
      </x:c>
      <x:c r="H34" s="32" t="str">
        <x:v>Absence of public evidence is not evidence of non-certification.</x:v>
      </x:c>
      <x:c r="I34" s="32" t="str">
        <x:v>2026-09-14</x:v>
      </x:c>
    </x:row>
    <x:row r="35">
      <x:c r="A35" s="32" t="n">
        <x:v>28</x:v>
      </x:c>
      <x:c r="B35" s="32" t="str">
        <x:v>iFLYTEK Co., Ltd. (科大讯飞, 002230)</x:v>
      </x:c>
      <x:c r="C35" s="32" t="str">
        <x:v>Primary</x:v>
      </x:c>
      <x:c r="D35" s="32" t="str">
        <x:v>C</x:v>
      </x:c>
      <x:c r="E35" s="32" t="str">
        <x:v>First-party corporate disclosure</x:v>
      </x:c>
      <x:c r="F35" s="32" t="str">
        <x:v>https://store.iflytek.com/products/iflytek-ai-translation-earbuds</x:v>
      </x:c>
      <x:c r="G35" s="32" t="str">
        <x:v>Official iFLYTEK product page states ISO 27001 &amp; ISO 27701 certified for the product/service context; this is not sufficient to attribute certification to the listed parent company.</x:v>
      </x:c>
      <x:c r="H35" s="32" t="str">
        <x:v>Strategic intent; broader parent/group scope unless explicitly named</x:v>
      </x:c>
      <x:c r="I35" s="32" t="str">
        <x:v>2026-09-14</x:v>
      </x:c>
    </x:row>
    <x:row r="36">
      <x:c r="A36" s="32" t="n">
        <x:v>29</x:v>
      </x:c>
      <x:c r="B36" s="32" t="str">
        <x:v>Unisplendour Corporation Limited (紫光股份, 000938)</x:v>
      </x:c>
      <x:c r="C36" s="32" t="str">
        <x:v>Search/audit finding</x:v>
      </x:c>
      <x:c r="D36" s="32" t="str">
        <x:v>C</x:v>
      </x:c>
      <x:c r="E36" s="32" t="str">
        <x:v>No qualifying public source retained</x:v>
      </x:c>
      <x:c r="F36" s="32" t="str"/>
      <x:c r="G36" s="32" t="str">
        <x:v>No qualifying evidence sufficient for a stronger coding state was located.</x:v>
      </x:c>
      <x:c r="H36" s="32" t="str">
        <x:v>Absence of public evidence is not evidence of non-certification.</x:v>
      </x:c>
      <x:c r="I36" s="32" t="str">
        <x:v>2026-09-14</x:v>
      </x:c>
    </x:row>
    <x:row r="37">
      <x:c r="A37" s="32" t="n">
        <x:v>30</x:v>
      </x:c>
      <x:c r="B37" s="32" t="str">
        <x:v>ZTE Corporation (中兴通讯, 000063)</x:v>
      </x:c>
      <x:c r="C37" s="32" t="str">
        <x:v>Primary</x:v>
      </x:c>
      <x:c r="D37" s="32" t="str">
        <x:v>B</x:v>
      </x:c>
      <x:c r="E37" s="32" t="str">
        <x:v>First-party corporate disclosure</x:v>
      </x:c>
      <x:c r="F37" s="32" t="str">
        <x:v>https://www.zte.com.cn/global/about/corporate-information/assurance-and-certifications</x:v>
      </x:c>
      <x:c r="G37" s="32" t="str">
        <x:v>ZTE states it has ISO/IEC 27001 certification; 2025 sustainability reporting states the scope covers all products and services, with multiple certificates across ZTE and global subsidiaries.</x:v>
      </x:c>
      <x:c r="H37" s="32" t="str">
        <x:v>Strategic intent; broader parent/group scope unless explicitly named</x:v>
      </x:c>
      <x:c r="I37" s="32" t="str">
        <x:v>2026-09-14</x:v>
      </x:c>
    </x:row>
    <x:row r="38">
      <x:c r="A38" s="32" t="n">
        <x:v>31</x:v>
      </x:c>
      <x:c r="B38" s="32" t="str">
        <x:v>Sovereign Cloud Holdings Limited / AUCloud (ASX: SOV)</x:v>
      </x:c>
      <x:c r="C38" s="32" t="str">
        <x:v>Search/audit finding</x:v>
      </x:c>
      <x:c r="D38" s="32" t="str">
        <x:v>B</x:v>
      </x:c>
      <x:c r="E38" s="32" t="str">
        <x:v>No qualifying public source retained</x:v>
      </x:c>
      <x:c r="F38" s="32" t="str"/>
      <x:c r="G38" s="32" t="str">
        <x:v>No qualifying evidence sufficient for a stronger coding state was located.</x:v>
      </x:c>
      <x:c r="H38" s="32" t="str">
        <x:v>Absence of public evidence is not evidence of non-certification.</x:v>
      </x:c>
      <x:c r="I38" s="32" t="str">
        <x:v>2026-09-14</x:v>
      </x:c>
    </x:row>
    <x:row r="39">
      <x:c r="A39" s="32" t="n">
        <x:v>32</x:v>
      </x:c>
      <x:c r="B39" s="32" t="str">
        <x:v>archTIS Limited (ASX: ATC)</x:v>
      </x:c>
      <x:c r="C39" s="32" t="str">
        <x:v>Search/audit finding</x:v>
      </x:c>
      <x:c r="D39" s="32" t="str">
        <x:v>C</x:v>
      </x:c>
      <x:c r="E39" s="32" t="str">
        <x:v>No qualifying public source retained</x:v>
      </x:c>
      <x:c r="F39" s="32" t="str"/>
      <x:c r="G39" s="32" t="str">
        <x:v>No qualifying evidence sufficient for a stronger coding state was located.</x:v>
      </x:c>
      <x:c r="H39" s="32" t="str">
        <x:v>Absence of public evidence is not evidence of non-certification.</x:v>
      </x:c>
      <x:c r="I39" s="32" t="str">
        <x:v>2026-09-14</x:v>
      </x:c>
    </x:row>
    <x:row r="40">
      <x:c r="A40" s="32" t="n">
        <x:v>33</x:v>
      </x:c>
      <x:c r="B40" s="32" t="str">
        <x:v>FirstWave Cloud Technology Limited (ASX: FCT)</x:v>
      </x:c>
      <x:c r="C40" s="32" t="str">
        <x:v>Primary</x:v>
      </x:c>
      <x:c r="D40" s="32" t="str">
        <x:v>B</x:v>
      </x:c>
      <x:c r="E40" s="32" t="str">
        <x:v>First-party corporate disclosure</x:v>
      </x:c>
      <x:c r="F40" s="32" t="str">
        <x:v>https://www.firstwavecloud.com/about-us/</x:v>
      </x:c>
      <x:c r="G40" s="32" t="str">
        <x:v>FirstWave publicly states ISO/IEC 27001 certification; exact certificate scope/ID not reproduced in the public source reviewed.</x:v>
      </x:c>
      <x:c r="H40" s="32" t="str">
        <x:v>Strategic intent; broader parent/group scope unless explicitly named</x:v>
      </x:c>
      <x:c r="I40" s="32" t="str">
        <x:v>2026-09-14</x:v>
      </x:c>
    </x:row>
    <x:row r="41">
      <x:c r="A41" s="32" t="n">
        <x:v>33</x:v>
      </x:c>
      <x:c r="B41" s="32" t="str">
        <x:v>FirstWave Cloud Technology Limited (ASX: FCT)</x:v>
      </x:c>
      <x:c r="C41" s="32" t="str">
        <x:v>Secondary</x:v>
      </x:c>
      <x:c r="D41" s="32" t="str">
        <x:v>B</x:v>
      </x:c>
      <x:c r="E41" s="32" t="str">
        <x:v>First-party corporate disclosure</x:v>
      </x:c>
      <x:c r="F41" s="32" t="str">
        <x:v>https://www.firstwavecloud.com/2025/08/20/firstwave-achieves-iso-27001-and-iso-9001-certification/</x:v>
      </x:c>
      <x:c r="G41" s="32" t="str">
        <x:v>Corrected from Unverifiable based on 2025 public first-party certification announcement.</x:v>
      </x:c>
      <x:c r="H41" s="32" t="str">
        <x:v>Certificate-level metadata where not shown.</x:v>
      </x:c>
      <x:c r="I41" s="32" t="str">
        <x:v>2026-09-14</x:v>
      </x:c>
    </x:row>
    <x:row r="42">
      <x:c r="A42" s="32" t="n">
        <x:v>34</x:v>
      </x:c>
      <x:c r="B42" s="32" t="str">
        <x:v>Prophecy International Holdings Limited (ASX: PRO)</x:v>
      </x:c>
      <x:c r="C42" s="32" t="str">
        <x:v>Search/audit finding</x:v>
      </x:c>
      <x:c r="D42" s="32" t="str">
        <x:v>B</x:v>
      </x:c>
      <x:c r="E42" s="32" t="str">
        <x:v>No qualifying public source retained</x:v>
      </x:c>
      <x:c r="F42" s="32" t="str"/>
      <x:c r="G42" s="32" t="str">
        <x:v>No qualifying evidence sufficient for a stronger coding state was located.</x:v>
      </x:c>
      <x:c r="H42" s="32" t="str">
        <x:v>Absence of public evidence is not evidence of non-certification.</x:v>
      </x:c>
      <x:c r="I42" s="32" t="str">
        <x:v>2026-09-14</x:v>
      </x:c>
    </x:row>
    <x:row r="43">
      <x:c r="A43" s="32" t="n">
        <x:v>35</x:v>
      </x:c>
      <x:c r="B43" s="32" t="str">
        <x:v>Tesserent Limited (Thales Australia / former ASX: TNT)</x:v>
      </x:c>
      <x:c r="C43" s="32" t="str">
        <x:v>Search/audit finding</x:v>
      </x:c>
      <x:c r="D43" s="32" t="str">
        <x:v>D</x:v>
      </x:c>
      <x:c r="E43" s="32" t="str">
        <x:v>No qualifying public source retained</x:v>
      </x:c>
      <x:c r="F43" s="32" t="str"/>
      <x:c r="G43" s="32" t="str">
        <x:v>No qualifying evidence sufficient for a stronger coding state was located.</x:v>
      </x:c>
      <x:c r="H43" s="32" t="str">
        <x:v>Absence of public evidence is not evidence of non-certification.</x:v>
      </x:c>
      <x:c r="I43" s="32" t="str">
        <x:v>2026-09-14</x:v>
      </x:c>
    </x:row>
    <x:row r="44">
      <x:c r="A44" s="32" t="n">
        <x:v>36</x:v>
      </x:c>
      <x:c r="B44" s="32" t="str">
        <x:v>Qi-Anxin Technology Group Inc. (奇安信, 688561)</x:v>
      </x:c>
      <x:c r="C44" s="32" t="str">
        <x:v>Search/audit finding</x:v>
      </x:c>
      <x:c r="D44" s="32" t="str">
        <x:v>B</x:v>
      </x:c>
      <x:c r="E44" s="32" t="str">
        <x:v>No qualifying public source retained</x:v>
      </x:c>
      <x:c r="F44" s="32" t="str"/>
      <x:c r="G44" s="32" t="str">
        <x:v>No qualifying evidence sufficient for a stronger coding state was located.</x:v>
      </x:c>
      <x:c r="H44" s="32" t="str">
        <x:v>Absence of public evidence is not evidence of non-certification.</x:v>
      </x:c>
      <x:c r="I44" s="32" t="str">
        <x:v>2026-09-14</x:v>
      </x:c>
    </x:row>
    <x:row r="45">
      <x:c r="A45" s="32" t="n">
        <x:v>37</x:v>
      </x:c>
      <x:c r="B45" s="32" t="str">
        <x:v>Venustech Group Inc. (启明星辰, 002439)</x:v>
      </x:c>
      <x:c r="C45" s="32" t="str">
        <x:v>Search/audit finding</x:v>
      </x:c>
      <x:c r="D45" s="32" t="str">
        <x:v>B</x:v>
      </x:c>
      <x:c r="E45" s="32" t="str">
        <x:v>No qualifying public source retained</x:v>
      </x:c>
      <x:c r="F45" s="32" t="str"/>
      <x:c r="G45" s="32" t="str">
        <x:v>No qualifying evidence sufficient for a stronger coding state was located.</x:v>
      </x:c>
      <x:c r="H45" s="32" t="str">
        <x:v>Absence of public evidence is not evidence of non-certification.</x:v>
      </x:c>
      <x:c r="I45" s="32" t="str">
        <x:v>2026-09-14</x:v>
      </x:c>
    </x:row>
    <x:row r="46">
      <x:c r="A46" s="32" t="n">
        <x:v>38</x:v>
      </x:c>
      <x:c r="B46" s="32" t="str">
        <x:v>Sangfor Technologies Inc. (深信服, 300454)</x:v>
      </x:c>
      <x:c r="C46" s="32" t="str">
        <x:v>Search/audit finding</x:v>
      </x:c>
      <x:c r="D46" s="32" t="str">
        <x:v>A</x:v>
      </x:c>
      <x:c r="E46" s="32" t="str">
        <x:v>No qualifying public source retained</x:v>
      </x:c>
      <x:c r="F46" s="32" t="str"/>
      <x:c r="G46" s="32" t="str">
        <x:v>No qualifying evidence sufficient for a stronger coding state was located.</x:v>
      </x:c>
      <x:c r="H46" s="32" t="str">
        <x:v>Absence of public evidence is not evidence of non-certification.</x:v>
      </x:c>
      <x:c r="I46" s="32" t="str">
        <x:v>2026-09-14</x:v>
      </x:c>
    </x:row>
    <x:row r="47">
      <x:c r="A47" s="32" t="n">
        <x:v>38</x:v>
      </x:c>
      <x:c r="B47" s="32" t="str">
        <x:v>Sangfor Technologies Inc. (深信服, 300454)</x:v>
      </x:c>
      <x:c r="C47" s="32" t="str">
        <x:v>Secondary</x:v>
      </x:c>
      <x:c r="D47" s="32" t="str">
        <x:v>A</x:v>
      </x:c>
      <x:c r="E47" s="32" t="str">
        <x:v>First-party corporate disclosure</x:v>
      </x:c>
      <x:c r="F47" s="32" t="str">
        <x:v>https://www.sangfor.com/news/press-releases/sangfor-technologies-awarded-iso-iec-27001-2022-certification</x:v>
      </x:c>
      <x:c r="G47" s="32" t="str">
        <x:v>Corrected: this is not evidence of a whole-parent comprehensive scope.</x:v>
      </x:c>
      <x:c r="H47" s="32" t="str">
        <x:v>Certificate-level metadata where not shown.</x:v>
      </x:c>
      <x:c r="I47" s="32" t="str">
        <x:v>2026-09-14</x:v>
      </x:c>
    </x:row>
    <x:row r="48">
      <x:c r="A48" s="32" t="n">
        <x:v>39</x:v>
      </x:c>
      <x:c r="B48" s="32" t="str">
        <x:v>Topsec Technologies Group Inc. (天融信, 002212)</x:v>
      </x:c>
      <x:c r="C48" s="32" t="str">
        <x:v>Search/audit finding</x:v>
      </x:c>
      <x:c r="D48" s="32" t="str">
        <x:v>D</x:v>
      </x:c>
      <x:c r="E48" s="32" t="str">
        <x:v>No qualifying public source retained</x:v>
      </x:c>
      <x:c r="F48" s="32" t="str"/>
      <x:c r="G48" s="32" t="str">
        <x:v>No qualifying evidence sufficient for a stronger coding state was located.</x:v>
      </x:c>
      <x:c r="H48" s="32" t="str">
        <x:v>Absence of public evidence is not evidence of non-certification.</x:v>
      </x:c>
      <x:c r="I48" s="32" t="str">
        <x:v>2026-09-14</x:v>
      </x:c>
    </x:row>
    <x:row r="49">
      <x:c r="A49" s="32" t="n">
        <x:v>40</x:v>
      </x:c>
      <x:c r="B49" s="32" t="str">
        <x:v>NSFOCUS Technologies Group Co., Ltd. (绿盟科技, 300369)</x:v>
      </x:c>
      <x:c r="C49" s="32" t="str">
        <x:v>Primary</x:v>
      </x:c>
      <x:c r="D49" s="32" t="str">
        <x:v>D</x:v>
      </x:c>
      <x:c r="E49" s="32" t="str">
        <x:v>First-party corporate disclosure</x:v>
      </x:c>
      <x:c r="F49" s="32" t="str">
        <x:v>https://nsfocusglobal.com/nsfocus-earns-iso-277012019-privacy-information-management-system-certification/</x:v>
      </x:c>
      <x:c r="G49" s="32" t="str">
        <x:v>Current evidence located for ISO 27701, but not sufficient to establish current parent-level ISO/IEC 27001 certification.</x:v>
      </x:c>
      <x:c r="H49" s="32" t="str">
        <x:v>Strategic intent; broader parent/group scope unless explicitly named</x:v>
      </x:c>
      <x:c r="I49" s="32" t="str">
        <x:v>2026-09-14</x:v>
      </x:c>
    </x:row>
    <x:row r="50">
      <x:c r="A50" s="32" t="n">
        <x:v>41</x:v>
      </x:c>
      <x:c r="B50" s="32" t="str">
        <x:v>WiseTech Global Limited (ASX: WTC)</x:v>
      </x:c>
      <x:c r="C50" s="32" t="str">
        <x:v>Primary</x:v>
      </x:c>
      <x:c r="D50" s="32" t="str">
        <x:v>B</x:v>
      </x:c>
      <x:c r="E50" s="32" t="str">
        <x:v>First-party corporate disclosure</x:v>
      </x:c>
      <x:c r="F50" s="32" t="str">
        <x:v>https://www.wisetechglobal.com/sustainability/trust-and-security/</x:v>
      </x:c>
      <x:c r="G50" s="32" t="str">
        <x:v>WiseTech publicly provides current ISO/IEC 27001 certificate/report access; exact scope text and certificate metadata were not independently extracted in this audit.</x:v>
      </x:c>
      <x:c r="H50" s="32" t="str">
        <x:v>Strategic intent; broader parent/group scope unless explicitly named</x:v>
      </x:c>
      <x:c r="I50" s="32" t="str">
        <x:v>2026-09-14</x:v>
      </x:c>
    </x:row>
    <x:row r="51">
      <x:c r="A51" s="32" t="n">
        <x:v>42</x:v>
      </x:c>
      <x:c r="B51" s="32" t="str">
        <x:v>Brambles Limited (ASX: BXB)</x:v>
      </x:c>
      <x:c r="C51" s="32" t="str">
        <x:v>Search/audit finding</x:v>
      </x:c>
      <x:c r="D51" s="32" t="str">
        <x:v>D</x:v>
      </x:c>
      <x:c r="E51" s="32" t="str">
        <x:v>No qualifying public source retained</x:v>
      </x:c>
      <x:c r="F51" s="32" t="str"/>
      <x:c r="G51" s="32" t="str">
        <x:v>No qualifying evidence sufficient for a stronger coding state was located.</x:v>
      </x:c>
      <x:c r="H51" s="32" t="str">
        <x:v>Absence of public evidence is not evidence of non-certification.</x:v>
      </x:c>
      <x:c r="I51" s="32" t="str">
        <x:v>2026-09-14</x:v>
      </x:c>
    </x:row>
    <x:row r="52">
      <x:c r="A52" s="32" t="n">
        <x:v>43</x:v>
      </x:c>
      <x:c r="B52" s="32" t="str">
        <x:v>APA Group (ASX: APA)</x:v>
      </x:c>
      <x:c r="C52" s="32" t="str">
        <x:v>Search/audit finding</x:v>
      </x:c>
      <x:c r="D52" s="32" t="str">
        <x:v>D</x:v>
      </x:c>
      <x:c r="E52" s="32" t="str">
        <x:v>No qualifying public source retained</x:v>
      </x:c>
      <x:c r="F52" s="32" t="str"/>
      <x:c r="G52" s="32" t="str">
        <x:v>No qualifying evidence sufficient for a stronger coding state was located.</x:v>
      </x:c>
      <x:c r="H52" s="32" t="str">
        <x:v>Absence of public evidence is not evidence of non-certification.</x:v>
      </x:c>
      <x:c r="I52" s="32" t="str">
        <x:v>2026-09-14</x:v>
      </x:c>
    </x:row>
    <x:row r="53">
      <x:c r="A53" s="32" t="n">
        <x:v>44</x:v>
      </x:c>
      <x:c r="B53" s="32" t="str">
        <x:v>Origin Energy Limited (ASX: ORG)</x:v>
      </x:c>
      <x:c r="C53" s="32" t="str">
        <x:v>Search/audit finding</x:v>
      </x:c>
      <x:c r="D53" s="32" t="str">
        <x:v>D</x:v>
      </x:c>
      <x:c r="E53" s="32" t="str">
        <x:v>No qualifying public source retained</x:v>
      </x:c>
      <x:c r="F53" s="32" t="str"/>
      <x:c r="G53" s="32" t="str">
        <x:v>No qualifying evidence sufficient for a stronger coding state was located.</x:v>
      </x:c>
      <x:c r="H53" s="32" t="str">
        <x:v>Absence of public evidence is not evidence of non-certification.</x:v>
      </x:c>
      <x:c r="I53" s="32" t="str">
        <x:v>2026-09-14</x:v>
      </x:c>
    </x:row>
    <x:row r="54">
      <x:c r="A54" s="32" t="n">
        <x:v>45</x:v>
      </x:c>
      <x:c r="B54" s="32" t="str">
        <x:v>Qantas Airways Limited (ASX: QAN)</x:v>
      </x:c>
      <x:c r="C54" s="32" t="str">
        <x:v>Search/audit finding</x:v>
      </x:c>
      <x:c r="D54" s="32" t="str">
        <x:v>D</x:v>
      </x:c>
      <x:c r="E54" s="32" t="str">
        <x:v>No qualifying public source retained</x:v>
      </x:c>
      <x:c r="F54" s="32" t="str"/>
      <x:c r="G54" s="32" t="str">
        <x:v>No qualifying evidence sufficient for a stronger coding state was located.</x:v>
      </x:c>
      <x:c r="H54" s="32" t="str">
        <x:v>Absence of public evidence is not evidence of non-certification.</x:v>
      </x:c>
      <x:c r="I54" s="32" t="str">
        <x:v>2026-09-14</x:v>
      </x:c>
    </x:row>
    <x:row r="55">
      <x:c r="A55" s="32" t="n">
        <x:v>46</x:v>
      </x:c>
      <x:c r="B55" s="32" t="str">
        <x:v>SF Holding Co., Ltd. (顺丰控股, 002352)</x:v>
      </x:c>
      <x:c r="C55" s="32" t="str">
        <x:v>Search/audit finding</x:v>
      </x:c>
      <x:c r="D55" s="32" t="str">
        <x:v>B</x:v>
      </x:c>
      <x:c r="E55" s="32" t="str">
        <x:v>No qualifying public source retained</x:v>
      </x:c>
      <x:c r="F55" s="32" t="str"/>
      <x:c r="G55" s="32" t="str">
        <x:v>No qualifying evidence sufficient for a stronger coding state was located.</x:v>
      </x:c>
      <x:c r="H55" s="32" t="str">
        <x:v>Absence of public evidence is not evidence of non-certification.</x:v>
      </x:c>
      <x:c r="I55" s="32" t="str">
        <x:v>2026-09-14</x:v>
      </x:c>
    </x:row>
    <x:row r="56">
      <x:c r="A56" s="32" t="n">
        <x:v>47</x:v>
      </x:c>
      <x:c r="B56" s="32" t="str">
        <x:v>NARI Technology Co., Ltd. (国电南瑞, 600406)</x:v>
      </x:c>
      <x:c r="C56" s="32" t="str">
        <x:v>Search/audit finding</x:v>
      </x:c>
      <x:c r="D56" s="32" t="str">
        <x:v>D</x:v>
      </x:c>
      <x:c r="E56" s="32" t="str">
        <x:v>No qualifying public source retained</x:v>
      </x:c>
      <x:c r="F56" s="32" t="str"/>
      <x:c r="G56" s="32" t="str">
        <x:v>No qualifying evidence sufficient for a stronger coding state was located.</x:v>
      </x:c>
      <x:c r="H56" s="32" t="str">
        <x:v>Absence of public evidence is not evidence of non-certification.</x:v>
      </x:c>
      <x:c r="I56" s="32" t="str">
        <x:v>2026-09-14</x:v>
      </x:c>
    </x:row>
    <x:row r="57">
      <x:c r="A57" s="32" t="n">
        <x:v>48</x:v>
      </x:c>
      <x:c r="B57" s="32" t="str">
        <x:v>COSCO SHIPPING Holdings Co., Ltd. (中远海控, 601919)</x:v>
      </x:c>
      <x:c r="C57" s="32" t="str">
        <x:v>Search/audit finding</x:v>
      </x:c>
      <x:c r="D57" s="32" t="str">
        <x:v>B</x:v>
      </x:c>
      <x:c r="E57" s="32" t="str">
        <x:v>No qualifying public source retained</x:v>
      </x:c>
      <x:c r="F57" s="32" t="str"/>
      <x:c r="G57" s="32" t="str">
        <x:v>No qualifying evidence sufficient for a stronger coding state was located.</x:v>
      </x:c>
      <x:c r="H57" s="32" t="str">
        <x:v>Absence of public evidence is not evidence of non-certification.</x:v>
      </x:c>
      <x:c r="I57" s="32" t="str">
        <x:v>2026-09-14</x:v>
      </x:c>
    </x:row>
    <x:row r="58">
      <x:c r="A58" s="32" t="n">
        <x:v>49</x:v>
      </x:c>
      <x:c r="B58" s="32" t="str">
        <x:v>Inovance Technology Co., Ltd. (汇川技术, 300124)</x:v>
      </x:c>
      <x:c r="C58" s="32" t="str">
        <x:v>Search/audit finding</x:v>
      </x:c>
      <x:c r="D58" s="32" t="str">
        <x:v>B</x:v>
      </x:c>
      <x:c r="E58" s="32" t="str">
        <x:v>No qualifying public source retained</x:v>
      </x:c>
      <x:c r="F58" s="32" t="str"/>
      <x:c r="G58" s="32" t="str">
        <x:v>No qualifying evidence sufficient for a stronger coding state was located.</x:v>
      </x:c>
      <x:c r="H58" s="32" t="str">
        <x:v>Absence of public evidence is not evidence of non-certification.</x:v>
      </x:c>
      <x:c r="I58" s="32" t="str">
        <x:v>2026-09-14</x:v>
      </x:c>
    </x:row>
    <x:row r="59">
      <x:c r="A59" s="32" t="n">
        <x:v>50</x:v>
      </x:c>
      <x:c r="B59" s="32" t="str">
        <x:v>Haier Smart Home Co., Ltd. (海尔智家, 600690)</x:v>
      </x:c>
      <x:c r="C59" s="32" t="str">
        <x:v>Search/audit finding</x:v>
      </x:c>
      <x:c r="D59" s="32" t="str">
        <x:v>B</x:v>
      </x:c>
      <x:c r="E59" s="32" t="str">
        <x:v>No qualifying public source retained</x:v>
      </x:c>
      <x:c r="F59" s="32" t="str"/>
      <x:c r="G59" s="32" t="str">
        <x:v>No qualifying evidence sufficient for a stronger coding state was located.</x:v>
      </x:c>
      <x:c r="H59" s="32" t="str">
        <x:v>Absence of public evidence is not evidence of non-certification.</x:v>
      </x:c>
      <x:c r="I59" s="32" t="str">
        <x:v>2026-09-14</x:v>
      </x:c>
    </x:row>
  </x:sheetData>
  <x:pageMargins left="0.7" right="0.7" top="0.75" bottom="0.75" header="0.3" footer="0.3"/>
  <x:tableParts count="1">
    <x:tablePart xmlns:r="http://schemas.openxmlformats.org/officeDocument/2006/relationships" r:id="Rc6f50a85426e46b8"/>
  </x:tableParts>
</x:worksheet>
</file>

<file path=xl/worksheets/sheet6.xml><?xml version="1.0" encoding="utf-8"?>
<x:worksheet xmlns:x="http://schemas.openxmlformats.org/spreadsheetml/2006/main">
  <x:sheetFormatPr defaultRowHeight="15"/>
  <x:cols>
    <x:col min="1" max="1" width="42" hidden="0" customWidth="1"/>
    <x:col min="2" max="2" width="70" hidden="0" customWidth="1"/>
    <x:col min="3" max="3" width="22" hidden="0" customWidth="1"/>
    <x:col min="4" max="4" width="22" hidden="0" customWidth="1"/>
  </x:cols>
  <x:sheetData>
    <x:row r="1">
      <x:c r="A1" s="28" t="str">
        <x:v>ISO/IEC 27001 50-Company Evidence Audit</x:v>
      </x:c>
      <x:c r="B1" s="28" t="str">
        <x:v>Audit date</x:v>
      </x:c>
      <x:c r="C1" s="28" t="str">
        <x:v>2026-09-14</x:v>
      </x:c>
      <x:c r="D1" s="28" t="str"/>
    </x:row>
    <x:row r="2">
      <x:c r="A2" s="32" t="str">
        <x:v>Purpose</x:v>
      </x:c>
      <x:c r="B2" s="32" t="str">
        <x:v>Reproducible evidence audit for CYBR7902 dataset</x:v>
      </x:c>
      <x:c r="C2" s="32" t="str"/>
      <x:c r="D2" s="32" t="str"/>
    </x:row>
    <x:row r="3">
      <x:c r="A3" s="32" t="str">
        <x:v>Core rule</x:v>
      </x:c>
      <x:c r="B3" s="32" t="str">
        <x:v>Never infer certification from a subsidiary, product, generic compliance statement, or similarly named entity unless the evidence identifies the certified entity.</x:v>
      </x:c>
      <x:c r="C3" s="32" t="str"/>
      <x:c r="D3" s="32" t="str"/>
    </x:row>
    <x:row r="4">
      <x:c r="A4" s="32" t="str">
        <x:v>Core rule</x:v>
      </x:c>
      <x:c r="B4" s="32" t="str">
        <x:v>Observed scope ≠ strategic intent. Potential ring-fencing is Indeterminate unless the boundary comparison is evidentially defensible.</x:v>
      </x:c>
      <x:c r="C4" s="32" t="str"/>
      <x:c r="D4" s="32" t="str"/>
    </x:row>
    <x:row r="5">
      <x:c r="A5" s="32" t="str">
        <x:v>Core rule</x:v>
      </x:c>
      <x:c r="B5" s="32" t="str">
        <x:v>Unverifiable / no public record = missing data, not negative certification.</x:v>
      </x:c>
      <x:c r="C5" s="32" t="str"/>
      <x:c r="D5" s="32" t="str"/>
    </x:row>
    <x:row r="6">
      <x:c r="A6" s="32" t="str">
        <x:v>Analysis date</x:v>
      </x:c>
      <x:c r="B6" s="32" t="str">
        <x:v>All current/expired labels use 2026-09-14 as cutoff.</x:v>
      </x:c>
      <x:c r="C6" s="32" t="str"/>
      <x:c r="D6" s="32" t="str"/>
    </x:row>
    <x:row r="7">
      <x:c r="A7" s="32"/>
      <x:c r="B7" s="32"/>
      <x:c r="C7" s="32"/>
      <x:c r="D7" s="32"/>
    </x:row>
    <x:row r="8">
      <x:c r="A8" s="31" t="str">
        <x:v>Metric</x:v>
      </x:c>
      <x:c r="B8" s="31" t="str">
        <x:v>Australia</x:v>
      </x:c>
      <x:c r="C8" s="31" t="str">
        <x:v>China / HK-China</x:v>
      </x:c>
      <x:c r="D8" s="31" t="str">
        <x:v>Total</x:v>
      </x:c>
    </x:row>
    <x:row r="9">
      <x:c r="A9" s="32" t="str">
        <x:v>Sampling frame</x:v>
      </x:c>
      <x:c r="B9" s="32" t="n">
        <x:v>25</x:v>
      </x:c>
      <x:c r="C9" s="32" t="n">
        <x:v>25</x:v>
      </x:c>
      <x:c r="D9" s="32" t="n">
        <x:v>50</x:v>
      </x:c>
    </x:row>
    <x:row r="10">
      <x:c r="A10" s="32" t="str">
        <x:v>Current certified (strict evidence state)</x:v>
      </x:c>
      <x:c r="B10" s="32" t="n">
        <x:v>8</x:v>
      </x:c>
      <x:c r="C10" s="32" t="n">
        <x:v>12</x:v>
      </x:c>
      <x:c r="D10" s="32" t="n">
        <x:v>20</x:v>
      </x:c>
    </x:row>
    <x:row r="11">
      <x:c r="A11" s="32" t="str">
        <x:v>Scope evidence level &gt;=2</x:v>
      </x:c>
      <x:c r="B11" s="32" t="n">
        <x:v>12</x:v>
      </x:c>
      <x:c r="C11" s="32" t="n">
        <x:v>11</x:v>
      </x:c>
      <x:c r="D11" s="32" t="n">
        <x:v>23</x:v>
      </x:c>
    </x:row>
    <x:row r="12">
      <x:c r="A12" s="32" t="str">
        <x:v>Potential ring-fencing = Yes</x:v>
      </x:c>
      <x:c r="B12" s="32" t="n">
        <x:v>0</x:v>
      </x:c>
      <x:c r="C12" s="32" t="n">
        <x:v>0</x:v>
      </x:c>
      <x:c r="D12" s="32" t="n">
        <x:v>0</x:v>
      </x:c>
    </x:row>
    <x:row r="13">
      <x:c r="A13" s="32" t="str">
        <x:v>Potential ring-fencing = Indeterminate</x:v>
      </x:c>
      <x:c r="B13" s="32" t="n">
        <x:v>24</x:v>
      </x:c>
      <x:c r="C13" s="32" t="n">
        <x:v>22</x:v>
      </x:c>
      <x:c r="D13" s="32" t="n">
        <x:v>46</x:v>
      </x:c>
    </x:row>
    <x:row r="14">
      <x:c r="A14" s="32" t="str">
        <x:v>Potential ring-fencing = No</x:v>
      </x:c>
      <x:c r="B14" s="32" t="n">
        <x:v>1</x:v>
      </x:c>
      <x:c r="C14" s="32" t="n">
        <x:v>3</x:v>
      </x:c>
      <x:c r="D14" s="32" t="n">
        <x:v>4</x:v>
      </x:c>
    </x:row>
    <x:row r="15">
      <x:c r="A15" s="32" t="str">
        <x:v>Scope analysis population = Yes</x:v>
      </x:c>
      <x:c r="B15" s="32" t="n">
        <x:v>12</x:v>
      </x:c>
      <x:c r="C15" s="32" t="n">
        <x:v>10</x:v>
      </x:c>
      <x:c r="D15" s="32" t="n">
        <x:v>22</x:v>
      </x:c>
    </x:row>
    <x:row r="16">
      <x:c r="A16" s="32"/>
      <x:c r="B16" s="32"/>
      <x:c r="C16" s="32"/>
      <x:c r="D16" s="32"/>
    </x:row>
    <x:row r="17">
      <x:c r="A17" s="47" t="str">
        <x:v>Interpretation safeguard</x:v>
      </x:c>
      <x:c r="B17" s="32"/>
      <x:c r="C17" s="32"/>
      <x:c r="D17" s="32"/>
    </x:row>
    <x:row r="18">
      <x:c r="A18" s="32" t="str">
        <x:v>Strict ring-fencing = Yes</x:v>
      </x:c>
      <x:c r="B18" s="32" t="n">
        <x:v>0</x:v>
      </x:c>
      <x:c r="C18" s="32" t="str">
        <x:v>Australia</x:v>
      </x:c>
      <x:c r="D18" s="32" t="n">
        <x:v>0</x:v>
      </x:c>
    </x:row>
    <x:row r="19">
      <x:c r="A19" s="32" t="str">
        <x:v>Strict ring-fencing = Yes</x:v>
      </x:c>
      <x:c r="B19" s="32" t="n">
        <x:v>0</x:v>
      </x:c>
      <x:c r="C19" s="32" t="str">
        <x:v>China / HK-China</x:v>
      </x:c>
      <x:c r="D19" s="32" t="n">
        <x:v>0</x:v>
      </x:c>
    </x:row>
    <x:row r="20">
      <x:c r="A20" s="60" t="str">
        <x:v>Conclusion</x:v>
      </x:c>
      <x:c r="B20" s="32" t="str">
        <x:v>H1 cannot be validly supported by the current strict coding; use observed-boundary analysis + qualitative intent evidence.</x:v>
      </x:c>
      <x:c r="C20" s="32" t="str"/>
      <x:c r="D20" s="32" t="str"/>
    </x:row>
    <x:row r="21">
      <x:c r="A21" s="32"/>
      <x:c r="B21" s="32"/>
      <x:c r="C21" s="32"/>
      <x:c r="D21" s="32"/>
    </x:row>
    <x:row r="22">
      <x:c r="A22" s="32"/>
      <x:c r="B22" s="32"/>
      <x:c r="C22" s="32"/>
      <x:c r="D22" s="32"/>
    </x:row>
    <x:row r="23">
      <x:c r="A23" s="32"/>
      <x:c r="B23" s="32"/>
      <x:c r="C23" s="32"/>
      <x:c r="D23" s="32"/>
    </x:row>
    <x:row r="24">
      <x:c r="A24" s="32"/>
      <x:c r="B24" s="32"/>
      <x:c r="C24" s="32"/>
      <x:c r="D24" s="32"/>
    </x:row>
    <x:row r="25">
      <x:c r="A25" s="32"/>
      <x:c r="B25" s="32"/>
      <x:c r="C25" s="32"/>
      <x:c r="D25" s="32"/>
    </x:row>
    <x:row r="26">
      <x:c r="A26" s="32"/>
      <x:c r="B26" s="32"/>
      <x:c r="C26" s="32"/>
      <x:c r="D26" s="32"/>
    </x:row>
    <x:row r="27">
      <x:c r="A27" s="32"/>
      <x:c r="B27" s="32"/>
      <x:c r="C27" s="32"/>
      <x:c r="D27" s="32"/>
    </x:row>
    <x:row r="28">
      <x:c r="A28" s="32"/>
      <x:c r="B28" s="32"/>
      <x:c r="C28" s="32"/>
      <x:c r="D28" s="32"/>
    </x:row>
    <x:row r="29">
      <x:c r="A29" s="32"/>
      <x:c r="B29" s="32"/>
      <x:c r="C29" s="32"/>
      <x:c r="D29" s="32"/>
    </x:row>
    <x:row r="30">
      <x:c r="A30" s="32"/>
      <x:c r="B30" s="32"/>
      <x:c r="C30" s="32"/>
      <x:c r="D30" s="32"/>
    </x:row>
    <x:row r="31">
      <x:c r="A31" s="32"/>
      <x:c r="B31" s="32"/>
      <x:c r="C31" s="32"/>
      <x:c r="D31" s="32"/>
    </x:row>
    <x:row r="32">
      <x:c r="A32" s="32"/>
      <x:c r="B32" s="32"/>
      <x:c r="C32" s="32"/>
      <x:c r="D32" s="32"/>
    </x:row>
  </x:sheetData>
  <x:mergeCells>
    <x:mergeCell ref="A17:D17"/>
    <x:mergeCell ref="A20:D20"/>
  </x:mergeCells>
  <x:pageMargins left="0.7" right="0.7" top="0.75" bottom="0.75" header="0.3" footer="0.3"/>
</x:worksheet>
</file>

<file path=xl/worksheets/sheet7.xml><?xml version="1.0" encoding="utf-8"?>
<x:worksheet xmlns:x="http://schemas.openxmlformats.org/spreadsheetml/2006/main">
  <x:sheetFormatPr defaultRowHeight="15"/>
  <x:cols>
    <x:col min="1" max="1" width="7" hidden="0" customWidth="1"/>
    <x:col min="2" max="2" width="40" hidden="0" customWidth="1"/>
    <x:col min="3" max="3" width="54" hidden="0" customWidth="1"/>
    <x:col min="4" max="4" width="58" hidden="0" customWidth="1"/>
    <x:col min="5" max="5" width="42" hidden="0" customWidth="1"/>
  </x:cols>
  <x:sheetData>
    <x:row r="1">
      <x:c r="A1" s="73" t="str">
        <x:v>No.</x:v>
      </x:c>
      <x:c r="B1" s="73" t="str">
        <x:v>Company</x:v>
      </x:c>
      <x:c r="C1" s="73" t="str">
        <x:v>Material correction</x:v>
      </x:c>
      <x:c r="D1" s="73" t="str">
        <x:v>Why</x:v>
      </x:c>
      <x:c r="E1" s="73" t="str">
        <x:v>Impact on analysis</x:v>
      </x:c>
    </x:row>
    <x:row r="2">
      <x:c r="A2" s="32" t="n">
        <x:v>3</x:v>
      </x:c>
      <x:c r="B2" s="32" t="str">
        <x:v>Singtel Optus Pty Limited (Optus)</x:v>
      </x:c>
      <x:c r="C2" s="32" t="str">
        <x:v>Historical service-specific scope retained; enterprise-wide status not inferred</x:v>
      </x:c>
      <x:c r="D2" s="32" t="str">
        <x:v>Optus 2008 official release names EXPAN co-location services</x:v>
      </x:c>
      <x:c r="E2" s="32" t="str">
        <x:v>Historical/service case only</x:v>
      </x:c>
    </x:row>
    <x:row r="3">
      <x:c r="A3" s="32" t="n">
        <x:v>4</x:v>
      </x:c>
      <x:c r="B3" s="32" t="str">
        <x:v>NEXTDC Limited (ASX: NXT)</x:v>
      </x:c>
      <x:c r="C3" s="32" t="str">
        <x:v>Strong core-business scope retained</x:v>
      </x:c>
      <x:c r="D3" s="32" t="str">
        <x:v>Current NEXTDC certificate names data-centre management/operation/maintenance/hosting</x:v>
      </x:c>
      <x:c r="E3" s="32" t="str">
        <x:v>Useful non-ring-fenced comparator</x:v>
      </x:c>
    </x:row>
    <x:row r="4">
      <x:c r="A4" s="32" t="n">
        <x:v>5</x:v>
      </x:c>
      <x:c r="B4" s="32" t="str">
        <x:v>Macquarie Technology Group (ASX: MAQ)</x:v>
      </x:c>
      <x:c r="C4" s="32" t="str">
        <x:v>Parent/group label removed; subsidiary holder made explicit</x:v>
      </x:c>
      <x:c r="D4" s="32" t="str">
        <x:v>Certificate holder is Macquarie Technology Operations Pty Limited</x:v>
      </x:c>
      <x:c r="E4" s="32" t="str">
        <x:v>Prevents parent inflation</x:v>
      </x:c>
    </x:row>
    <x:row r="5">
      <x:c r="A5" s="32" t="n">
        <x:v>7</x:v>
      </x:c>
      <x:c r="B5" s="32" t="str">
        <x:v>China Mobile Communications Group (中国移动, 600941)</x:v>
      </x:c>
      <x:c r="C5" s="32" t="str">
        <x:v>Parent label removed; CMI subsidiary separated</x:v>
      </x:c>
      <x:c r="D5" s="32" t="str">
        <x:v>SGS source names China Mobile International Limited</x:v>
      </x:c>
      <x:c r="E5" s="32" t="str">
        <x:v>Prevents parent inflation</x:v>
      </x:c>
    </x:row>
    <x:row r="6">
      <x:c r="A6" s="32" t="n">
        <x:v>9</x:v>
      </x:c>
      <x:c r="B6" s="32" t="str">
        <x:v>Alibaba Cloud Computing Co., Ltd. (阿里云计算有限公司)</x:v>
      </x:c>
      <x:c r="C6" s="32" t="str">
        <x:v>Boundary changed to Product/service</x:v>
      </x:c>
      <x:c r="D6" s="32" t="str">
        <x:v>BSI scope is cloud data-centre operation/maintenance</x:v>
      </x:c>
      <x:c r="E6" s="32" t="str">
        <x:v>Prevents false comprehensive coding</x:v>
      </x:c>
    </x:row>
    <x:row r="7">
      <x:c r="A7" s="32" t="n">
        <x:v>10</x:v>
      </x:c>
      <x:c r="B7" s="32" t="str">
        <x:v>Tencent Cloud Computing (Beijing) Co., Ltd. (腾讯云计算（北京）有限责任公司)</x:v>
      </x:c>
      <x:c r="C7" s="32" t="str">
        <x:v>Unverifiable -&gt; current certification claim</x:v>
      </x:c>
      <x:c r="D7" s="32" t="str">
        <x:v>First-party Tencent Cloud compliance evidence</x:v>
      </x:c>
      <x:c r="E7" s="32" t="str">
        <x:v>Adds certification-claim evidence; metadata incomplete</x:v>
      </x:c>
    </x:row>
    <x:row r="8">
      <x:c r="A8" s="32" t="n">
        <x:v>11</x:v>
      </x:c>
      <x:c r="B8" s="32" t="str">
        <x:v>Technology One Limited (ASX: TNE)</x:v>
      </x:c>
      <x:c r="C8" s="32" t="str">
        <x:v>Comprehensive -&gt; Product/service + organisational unit</x:v>
      </x:c>
      <x:c r="D8" s="32" t="str">
        <x:v>Certificate 1322 ISMS explicitly names R&amp;D Platform Services teams</x:v>
      </x:c>
      <x:c r="E8" s="32" t="str">
        <x:v>Major analytical correction</x:v>
      </x:c>
    </x:row>
    <x:row r="9">
      <x:c r="A9" s="32" t="n">
        <x:v>13</x:v>
      </x:c>
      <x:c r="B9" s="32" t="str">
        <x:v>Data#3 Limited (ASX: DTL)</x:v>
      </x:c>
      <x:c r="C9" s="32" t="str">
        <x:v>Ring-fenced -&gt; defined service scope</x:v>
      </x:c>
      <x:c r="D9" s="32" t="str">
        <x:v>Evidence names IPT and Managed Services</x:v>
      </x:c>
      <x:c r="E9" s="32" t="str">
        <x:v>Separates observed scope from strategic intent</x:v>
      </x:c>
    </x:row>
    <x:row r="10">
      <x:c r="A10" s="32" t="n">
        <x:v>15</x:v>
      </x:c>
      <x:c r="B10" s="32" t="str">
        <x:v>Iress Limited (ASX: IRE)</x:v>
      </x:c>
      <x:c r="C10" s="32" t="str">
        <x:v>Current metadata left unconfirmed</x:v>
      </x:c>
      <x:c r="D10" s="32" t="str">
        <x:v>Iress reports transition/BSI assessment, but exact current certificate not located</x:v>
      </x:c>
      <x:c r="E10" s="32" t="str">
        <x:v>Avoids false-current coding</x:v>
      </x:c>
    </x:row>
    <x:row r="11">
      <x:c r="A11" s="32" t="n">
        <x:v>17</x:v>
      </x:c>
      <x:c r="B11" s="32" t="str">
        <x:v>Kingdee International Software Group Co., Ltd. (金蝶国际, 0268.HK)</x:v>
      </x:c>
      <x:c r="C11" s="32" t="str">
        <x:v>Expired-pending-renewal -&gt; Current certified; validity corrected to 2026-10-30</x:v>
      </x:c>
      <x:c r="D11" s="32" t="str">
        <x:v>2024 ESG certification table lists ISO/IEC 27001 validity through 30 Oct 2026; the previously used 28 Aug 2026 date corresponds to a different standard/certification entry.</x:v>
      </x:c>
      <x:c r="E11" s="32" t="str">
        <x:v>Restores Kingdee to current certification count; scope remains product/platform and ring-fencing indeterminate.</x:v>
      </x:c>
    </x:row>
    <x:row r="12">
      <x:c r="A12" s="32" t="n">
        <x:v>21</x:v>
      </x:c>
      <x:c r="B12" s="32" t="str">
        <x:v>Senetas Corporation Limited (ASX: SEN)</x:v>
      </x:c>
      <x:c r="C12" s="32" t="str">
        <x:v>ISO27001 claim not retained</x:v>
      </x:c>
      <x:c r="D12" s="32" t="str">
        <x:v>Official compliance page reviewed but no qualifying ISO27001 evidence established</x:v>
      </x:c>
      <x:c r="E12" s="32" t="str">
        <x:v>Missing-data treatment</x:v>
      </x:c>
    </x:row>
    <x:row r="13">
      <x:c r="A13" s="32" t="n">
        <x:v>24</x:v>
      </x:c>
      <x:c r="B13" s="32" t="str">
        <x:v>DroneShield Limited (ASX: DRO)</x:v>
      </x:c>
      <x:c r="C13" s="32" t="str">
        <x:v>Corporate scope -&gt; Product/service context</x:v>
      </x:c>
      <x:c r="D13" s="32" t="str">
        <x:v>DroneShield page describes technology/system scope</x:v>
      </x:c>
      <x:c r="E13" s="32" t="str">
        <x:v>Prevents false comprehensive coding</x:v>
      </x:c>
    </x:row>
    <x:row r="14">
      <x:c r="A14" s="32" t="n">
        <x:v>26</x:v>
      </x:c>
      <x:c r="B14" s="32" t="str">
        <x:v>Hangzhou Hikvision Digital Technology Co., Ltd. (海康威视, 002415)</x:v>
      </x:c>
      <x:c r="C14" s="32" t="str">
        <x:v>Unverifiable -&gt; certificate-linked current evidence</x:v>
      </x:c>
      <x:c r="D14" s="32" t="str">
        <x:v>Official material references ISO27001 certificate IS755587</x:v>
      </x:c>
      <x:c r="E14" s="32" t="str">
        <x:v>Upgrades evidence tier</x:v>
      </x:c>
    </x:row>
    <x:row r="15">
      <x:c r="A15" s="32" t="n">
        <x:v>28</x:v>
      </x:c>
      <x:c r="B15" s="32" t="str">
        <x:v>iFLYTEK Co., Ltd. (科大讯飞, 002230)</x:v>
      </x:c>
      <x:c r="C15" s="32" t="str">
        <x:v>Parent cert -&gt; product-level claim only</x:v>
      </x:c>
      <x:c r="D15" s="32" t="str">
        <x:v>iFLYTEK public evidence is product-level</x:v>
      </x:c>
      <x:c r="E15" s="32" t="str">
        <x:v>Prevents parent inflation</x:v>
      </x:c>
    </x:row>
    <x:row r="16">
      <x:c r="A16" s="32" t="n">
        <x:v>30</x:v>
      </x:c>
      <x:c r="B16" s="32" t="str">
        <x:v>ZTE Corporation (中兴通讯, 000063)</x:v>
      </x:c>
      <x:c r="C16" s="32" t="str">
        <x:v>Unverifiable -&gt; Current certified; core-business comprehensive</x:v>
      </x:c>
      <x:c r="D16" s="32" t="str">
        <x:v>ZTE 2025 disclosure supports ISO27001 and all products/services</x:v>
      </x:c>
      <x:c r="E16" s="32" t="str">
        <x:v>Major correction</x:v>
      </x:c>
    </x:row>
    <x:row r="17">
      <x:c r="A17" s="32" t="n">
        <x:v>31</x:v>
      </x:c>
      <x:c r="B17" s="32" t="str">
        <x:v>Sovereign Cloud Holdings Limited / AUCloud (ASX: SOV)</x:v>
      </x:c>
      <x:c r="C17" s="32" t="str">
        <x:v>Unverifiable -&gt; operating-entity certified</x:v>
      </x:c>
      <x:c r="D17" s="32" t="str">
        <x:v>AUCloud public certification evidence</x:v>
      </x:c>
      <x:c r="E17" s="32" t="str">
        <x:v>Separates operating entity from parent</x:v>
      </x:c>
    </x:row>
    <x:row r="18">
      <x:c r="A18" s="32" t="n">
        <x:v>33</x:v>
      </x:c>
      <x:c r="B18" s="32" t="str">
        <x:v>FirstWave Cloud Technology Limited (ASX: FCT)</x:v>
      </x:c>
      <x:c r="C18" s="32" t="str">
        <x:v>Unverifiable -&gt; Current certified</x:v>
      </x:c>
      <x:c r="D18" s="32" t="str">
        <x:v>FirstWave 2025 official announcement</x:v>
      </x:c>
      <x:c r="E18" s="32" t="str">
        <x:v>Adds current certification case</x:v>
      </x:c>
    </x:row>
    <x:row r="19">
      <x:c r="A19" s="32" t="n">
        <x:v>34</x:v>
      </x:c>
      <x:c r="B19" s="32" t="str">
        <x:v>Prophecy International Holdings Limited (ASX: PRO)</x:v>
      </x:c>
      <x:c r="C19" s="32" t="str">
        <x:v>Unknown -&gt; Product/business-unit scope</x:v>
      </x:c>
      <x:c r="D19" s="32" t="str">
        <x:v>Historical certificate names Snare/eMite environments; later update disclosed</x:v>
      </x:c>
      <x:c r="E19" s="32" t="str">
        <x:v>More defensible boundary</x:v>
      </x:c>
    </x:row>
    <x:row r="20">
      <x:c r="A20" s="32" t="n">
        <x:v>36</x:v>
      </x:c>
      <x:c r="B20" s="32" t="str">
        <x:v>Qi-Anxin Technology Group Inc. (奇安信, 688561)</x:v>
      </x:c>
      <x:c r="C20" s="32" t="str">
        <x:v>Parent unknown -&gt; subsidiary certified</x:v>
      </x:c>
      <x:c r="D20" s="32" t="str">
        <x:v>QAX SECWORLD named in ESG</x:v>
      </x:c>
      <x:c r="E20" s="32" t="str">
        <x:v>Prevents parent inflation</x:v>
      </x:c>
    </x:row>
    <x:row r="21">
      <x:c r="A21" s="32" t="n">
        <x:v>37</x:v>
      </x:c>
      <x:c r="B21" s="32" t="str">
        <x:v>Venustech Group Inc. (启明星辰, 002439)</x:v>
      </x:c>
      <x:c r="C21" s="32" t="str">
        <x:v>CB attribution corrected to CCRC</x:v>
      </x:c>
      <x:c r="D21" s="32" t="str">
        <x:v>Official qualification page names CCRC</x:v>
      </x:c>
      <x:c r="E21" s="32" t="str">
        <x:v>Removes unsupported CB</x:v>
      </x:c>
    </x:row>
    <x:row r="22">
      <x:c r="A22" s="32" t="n">
        <x:v>38</x:v>
      </x:c>
      <x:c r="B22" s="32" t="str">
        <x:v>Sangfor Technologies Inc. (深信服, 300454)</x:v>
      </x:c>
      <x:c r="C22" s="32" t="str">
        <x:v>Broad ring-fenced -&gt; defined GSOC/cloud scope</x:v>
      </x:c>
      <x:c r="D22" s="32" t="str">
        <x:v>Sangfor/SIRIM source specifies Kuala Lumpur GSOC</x:v>
      </x:c>
      <x:c r="E22" s="32" t="str">
        <x:v>Prevents parent-wide coding</x:v>
      </x:c>
    </x:row>
    <x:row r="23">
      <x:c r="A23" s="32" t="n">
        <x:v>40</x:v>
      </x:c>
      <x:c r="B23" s="32" t="str">
        <x:v>NSFOCUS Technologies Group Co., Ltd. (绿盟科技, 300369)</x:v>
      </x:c>
      <x:c r="C23" s="32" t="str">
        <x:v>ISO27701 not treated as ISO27001</x:v>
      </x:c>
      <x:c r="D23" s="32" t="str">
        <x:v>Current public evidence located is ISO27701</x:v>
      </x:c>
      <x:c r="E23" s="32" t="str">
        <x:v>Prevents standard substitution</x:v>
      </x:c>
    </x:row>
    <x:row r="24">
      <x:c r="A24" s="32" t="n">
        <x:v>46</x:v>
      </x:c>
      <x:c r="B24" s="32" t="str">
        <x:v>SF Holding Co., Ltd. (顺丰控股, 002352)</x:v>
      </x:c>
      <x:c r="C24" s="32" t="str">
        <x:v>Scope upgraded to core-business operations</x:v>
      </x:c>
      <x:c r="D24" s="32" t="str">
        <x:v>SF source states ISO27001 covers core business operations</x:v>
      </x:c>
      <x:c r="E24" s="32" t="str">
        <x:v>Adds strong core-business case</x:v>
      </x:c>
    </x:row>
    <x:row r="25">
      <x:c r="A25" s="32" t="n">
        <x:v>48</x:v>
      </x:c>
      <x:c r="B25" s="32" t="str">
        <x:v>COSCO SHIPPING Holdings Co., Ltd. (中远海控, 601919)</x:v>
      </x:c>
      <x:c r="C25" s="32" t="str">
        <x:v>Parent separated from subsidiaries</x:v>
      </x:c>
      <x:c r="D25" s="32" t="str">
        <x:v>COSCO evidence tied to specific entities</x:v>
      </x:c>
      <x:c r="E25" s="32" t="str">
        <x:v>Prevents parent inflation</x:v>
      </x:c>
    </x:row>
    <x:row r="26">
      <x:c r="A26" s="32" t="n">
        <x:v>49</x:v>
      </x:c>
      <x:c r="B26" s="32" t="str">
        <x:v>Inovance Technology Co., Ltd. (汇川技术, 300124)</x:v>
      </x:c>
      <x:c r="C26" s="32" t="str">
        <x:v>Parent separated from subsidiary</x:v>
      </x:c>
      <x:c r="D26" s="32" t="str">
        <x:v>INOVANCE Automotive named in ESG</x:v>
      </x:c>
      <x:c r="E26" s="32" t="str">
        <x:v>Prevents parent inflation</x:v>
      </x:c>
    </x:row>
    <x:row r="27">
      <x:c r="A27" s="32" t="n">
        <x:v>50</x:v>
      </x:c>
      <x:c r="B27" s="32" t="str">
        <x:v>Haier Smart Home Co., Ltd. (海尔智家, 600690)</x:v>
      </x:c>
      <x:c r="C27" s="32" t="str">
        <x:v>Initial date removed; 2025 recertification retained</x:v>
      </x:c>
      <x:c r="D27" s="32" t="str">
        <x:v>Exact initial cert not established; 2025 recertification disclosed</x:v>
      </x:c>
      <x:c r="E27" s="32" t="str">
        <x:v>Improves temporal integrity</x:v>
      </x:c>
    </x:row>
    <x:row r="29" ht="62" customHeight="1">
      <x:c r="A29" s="32" t="n">
        <x:v>29</x:v>
      </x:c>
      <x:c r="B29" s="32" t="str">
        <x:v>RQ2 cross-sample</x:v>
      </x:c>
      <x:c r="C29" s="32" t="str">
        <x:v>Added RQ2 Evidence Matrix with 12 audited propositions/evidence records</x:v>
      </x:c>
      <x:c r="D29" s="32" t="str">
        <x:v>Primary corporate, certification-body and Australian legislative sources; explicit evidence-strength grading</x:v>
      </x:c>
      <x:c r="E29" s="32" t="str">
        <x:v>Separates observed facts, interpretation and evidence gaps</x:v>
      </x:c>
    </x:row>
    <x:row r="30" ht="62" customHeight="1">
      <x:c r="A30" s="32" t="n">
        <x:v>30</x:v>
      </x:c>
      <x:c r="B30" s="32" t="str">
        <x:v>RQ2 synthesis</x:v>
      </x:c>
      <x:c r="C30" s="32" t="str">
        <x:v>Added RQ2 Synthesis sheet</x:v>
      </x:c>
      <x:c r="D30" s="32" t="str">
        <x:v>International customer/market evidence is stronger than direct anti-foreign-audit evidence</x:v>
      </x:c>
      <x:c r="E30" s="32" t="str">
        <x:v>Prevents overclaiming H2 / Dual-Compliance Trap</x:v>
      </x:c>
    </x:row>
    <x:row r="31" ht="62" customHeight="1">
      <x:c r="A31" s="32" t="n">
        <x:v>31</x:v>
      </x:c>
      <x:c r="B31" s="32" t="str">
        <x:v>SOCI regulatory context</x:v>
      </x:c>
      <x:c r="C31" s="32" t="str">
        <x:v>Added primary-law qualification: ISO 27001 is one permitted CIRMP framework, not a universal ISO certification mandate</x:v>
      </x:c>
      <x:c r="D31" s="32" t="str">
        <x:v>Federal Register of Legislation 2025 CIRMP Rules</x:v>
      </x:c>
      <x:c r="E31" s="32" t="str">
        <x:v>Australian H2 wording must be qualified</x:v>
      </x:c>
    </x:row>
    <x:row r="32" ht="62" customHeight="1">
      <x:c r="A32" s="32" t="n">
        <x:v>32</x:v>
      </x:c>
      <x:c r="B32" s="32" t="str">
        <x:v>Strategic exclusion claim</x:v>
      </x:c>
      <x:c r="C32" s="32" t="str">
        <x:v>Marked 'shielding domestic core networks from foreign audit oversight' as Evidence Gap</x:v>
      </x:c>
      <x:c r="D32" s="32" t="str">
        <x:v>No primary company-level statement found in this finite public-source audit</x:v>
      </x:c>
      <x:c r="E32" s="32" t="str">
        <x:v>Must remain theoretical unless further direct evidence is located</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8" hidden="0" customWidth="1"/>
    <x:col min="2" max="2" width="105" hidden="0" customWidth="1"/>
  </x:cols>
  <x:sheetData>
    <x:row r="1">
      <x:c r="A1" s="28" t="str">
        <x:v>Field</x:v>
      </x:c>
      <x:c r="B1" s="28" t="str">
        <x:v>Coding rule</x:v>
      </x:c>
    </x:row>
    <x:row r="2">
      <x:c r="A2" s="32" t="str">
        <x:v>Evidence Tier</x:v>
      </x:c>
      <x:c r="B2" s="32" t="str">
        <x:v>A = certificate/accredited CB directory; B = current first-party certification + useful scope/date; C = generic/product/related-entity claim; D = no qualifying public evidence.</x:v>
      </x:c>
    </x:row>
    <x:row r="3">
      <x:c r="A3" s="32" t="str">
        <x:v>Audited Status</x:v>
      </x:c>
      <x:c r="B3" s="32" t="str">
        <x:v>Current certified requires usable evidence as of 2026-09-14. Historical/expired/parent-unverified/subsidiary-only states are separated.</x:v>
      </x:c>
    </x:row>
    <x:row r="4">
      <x:c r="A4" s="32" t="str">
        <x:v>Entity Alignment</x:v>
      </x:c>
      <x:c r="B4" s="32" t="str">
        <x:v>Certification is attributed only to the legal entity/business unit named by the source. Subsidiary evidence is never promoted to listed parent.</x:v>
      </x:c>
    </x:row>
    <x:row r="5">
      <x:c r="A5" s="32" t="str">
        <x:v>Observed Scope</x:v>
      </x:c>
      <x:c r="B5" s="32" t="str">
        <x:v>Records what the source says is inside the ISMS. It does not encode why the organisation selected the boundary.</x:v>
      </x:c>
    </x:row>
    <x:row r="6">
      <x:c r="A6" s="32" t="str">
        <x:v>Scope Evidence Level</x:v>
      </x:c>
      <x:c r="B6" s="32" t="str">
        <x:v>0=no scope evidence; 1=generic certification claim; 2=official useful scope; 3=certificate/CB-level scope.</x:v>
      </x:c>
    </x:row>
    <x:row r="7">
      <x:c r="A7" s="32" t="str">
        <x:v>Observed Boundary Type</x:v>
      </x:c>
      <x:c r="B7" s="32" t="str">
        <x:v>0=Unknown; 1=Product/service; 2=Business unit/defined service; 3=Subsidiary/legal entity; 4=Multi-entity defined; 5=Core-business comprehensive.</x:v>
      </x:c>
    </x:row>
    <x:row r="8">
      <x:c r="A8" s="32" t="str">
        <x:v>Potential Ring-Fencing</x:v>
      </x:c>
      <x:c r="B8" s="32" t="str">
        <x:v>Yes only when a materially bounded topology relative to the listed parent/core business is evidentially defensible. Otherwise Indeterminate or No.</x:v>
      </x:c>
    </x:row>
    <x:row r="9">
      <x:c r="A9" s="32" t="str">
        <x:v>Strategic Intent Evidence</x:v>
      </x:c>
      <x:c r="B9" s="32" t="str">
        <x:v>Direct/Indirect/None. Narrow scope alone is not proof of strategic intent.</x:v>
      </x:c>
    </x:row>
    <x:row r="10">
      <x:c r="A10" s="32" t="str">
        <x:v>RQ1 Scope Analysis Eligible</x:v>
      </x:c>
      <x:c r="B10" s="32" t="str">
        <x:v>Yes only when observed scope evidence is sufficiently specific; No when unavailable; Conditional where certification exists but boundary remains incomplete.</x:v>
      </x:c>
    </x:row>
    <x:row r="11">
      <x:c r="A11" s="32" t="str">
        <x:v>Missingness</x:v>
      </x:c>
      <x:c r="B11" s="32" t="str">
        <x:v>No public record = missing evidence, not evidence that certification does not exist.</x:v>
      </x:c>
    </x:row>
    <x:row r="12">
      <x:c r="A12" s="32" t="str">
        <x:v>Temporal rule</x:v>
      </x:c>
      <x:c r="B12" s="32" t="str">
        <x:v>All current/expired labels use 2026-09-14 cutoff; expired dates require a later renewal source to restore current status.</x:v>
      </x:c>
    </x:row>
    <x:row r="13">
      <x:c r="A13" s="32" t="str">
        <x:v>Academic-integrity rule</x:v>
      </x:c>
      <x:c r="B13" s="32" t="str">
        <x:v>Never invent certificate IDs, CBs, accreditation bodies, dates, scope text, or strategic motivations. Blank/unknown values are legitimate data.</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42" hidden="0" customWidth="1"/>
    <x:col min="2" max="2" width="20" hidden="0" customWidth="1"/>
    <x:col min="3" max="3" width="20" hidden="0" customWidth="1"/>
    <x:col min="4" max="4" width="14" hidden="0" customWidth="1"/>
    <x:col min="5" max="5" width="14" hidden="0" customWidth="1"/>
    <x:col min="6" max="6" width="14" hidden="0" customWidth="1"/>
  </x:cols>
  <x:sheetData>
    <x:row r="1">
      <x:c r="A1" s="57" t="str">
        <x:v>CYBR7902 — RQ1 Statistical Analysis (Evidence-Audited Dataset)</x:v>
      </x:c>
      <x:c r="B1" s="57"/>
      <x:c r="C1" s="57"/>
      <x:c r="D1" s="57"/>
      <x:c r="E1" s="57"/>
      <x:c r="F1" s="57"/>
    </x:row>
    <x:row r="2">
      <x:c r="A2" s="54" t="str">
        <x:v>Cut-off: 2026-09-14 | Sampling frame: 25 Australia + 25 China/HK-China | Strict ring-fencing coding is intentionally conservative</x:v>
      </x:c>
      <x:c r="B2" s="54"/>
      <x:c r="C2" s="54"/>
      <x:c r="D2" s="54"/>
      <x:c r="E2" s="54"/>
      <x:c r="F2" s="54"/>
    </x:row>
    <x:row r="3">
      <x:c r="A3" s="56"/>
      <x:c r="B3" s="56"/>
      <x:c r="C3" s="56"/>
      <x:c r="D3" s="56"/>
      <x:c r="E3" s="56"/>
      <x:c r="F3" s="56"/>
    </x:row>
    <x:row r="4">
      <x:c r="A4" s="52" t="str">
        <x:v>Panel A — Strict ring-fencing coding</x:v>
      </x:c>
      <x:c r="B4" s="52" t="str">
        <x:v>Australia</x:v>
      </x:c>
      <x:c r="C4" s="52" t="str">
        <x:v>China / HK-China</x:v>
      </x:c>
      <x:c r="D4" s="52" t="str">
        <x:v>Total</x:v>
      </x:c>
      <x:c r="E4" s="56"/>
      <x:c r="F4" s="56"/>
    </x:row>
    <x:row r="5">
      <x:c r="A5" s="56" t="str">
        <x:v>Sampling frame (N)</x:v>
      </x:c>
      <x:c r="B5" s="56" t="n">
        <x:f>COUNTIF('Coding Matrix'!$C$2:$C$51,0)</x:f>
        <x:v>25</x:v>
      </x:c>
      <x:c r="C5" s="56" t="n">
        <x:f>COUNTIF('Coding Matrix'!$C$2:$C$51,1)</x:f>
        <x:v>25</x:v>
      </x:c>
      <x:c r="D5" s="56" t="n">
        <x:f>SUM(B5:C5)</x:f>
        <x:v>50</x:v>
      </x:c>
      <x:c r="E5" s="56"/>
      <x:c r="F5" s="56"/>
    </x:row>
    <x:row r="6">
      <x:c r="A6" s="56" t="str">
        <x:v>Current / usable certification evidence</x:v>
      </x:c>
      <x:c r="B6" s="56" t="n">
        <x:f>COUNTIFS('Coding Matrix'!$C$2:$C$51,0,'Coding Matrix'!$D$2:$D$51,1)</x:f>
        <x:v>8</x:v>
      </x:c>
      <x:c r="C6" s="56" t="n">
        <x:f>COUNTIFS('Coding Matrix'!$C$2:$C$51,1,'Coding Matrix'!$D$2:$D$51,1)</x:f>
        <x:v>12</x:v>
      </x:c>
      <x:c r="D6" s="56" t="n">
        <x:f>SUM(B6:C6)</x:f>
        <x:v>20</x:v>
      </x:c>
      <x:c r="E6" s="56"/>
      <x:c r="F6" s="56"/>
    </x:row>
    <x:row r="7">
      <x:c r="A7" s="56" t="str">
        <x:v>Scope analysis population</x:v>
      </x:c>
      <x:c r="B7" s="56" t="n">
        <x:f>COUNTIFS('Coding Matrix'!$C$2:$C$51,0,'Coding Matrix'!$M$2:$M$51,1)</x:f>
        <x:v>12</x:v>
      </x:c>
      <x:c r="C7" s="56" t="n">
        <x:f>COUNTIFS('Coding Matrix'!$C$2:$C$51,1,'Coding Matrix'!$M$2:$M$51,1)</x:f>
        <x:v>10</x:v>
      </x:c>
      <x:c r="D7" s="56" t="n">
        <x:f>SUM(B7:C7)</x:f>
        <x:v>22</x:v>
      </x:c>
      <x:c r="E7" s="56"/>
      <x:c r="F7" s="56"/>
    </x:row>
    <x:row r="8">
      <x:c r="A8" s="56" t="str">
        <x:v>Potential ring-fencing = Yes</x:v>
      </x:c>
      <x:c r="B8" s="56" t="n">
        <x:f>COUNTIFS('Coding Matrix'!$C$2:$C$51,0,'Coding Matrix'!$M$2:$M$51,1,'Coding Matrix'!$I$2:$I$51,1)</x:f>
        <x:v>0</x:v>
      </x:c>
      <x:c r="C8" s="56" t="n">
        <x:f>COUNTIFS('Coding Matrix'!$C$2:$C$51,1,'Coding Matrix'!$M$2:$M$51,1,'Coding Matrix'!$I$2:$I$51,1)</x:f>
        <x:v>0</x:v>
      </x:c>
      <x:c r="D8" s="56" t="n">
        <x:f>SUM(B8:C8)</x:f>
        <x:v>0</x:v>
      </x:c>
      <x:c r="E8" s="56"/>
      <x:c r="F8" s="56"/>
    </x:row>
    <x:row r="9">
      <x:c r="A9" s="56" t="str">
        <x:v>Potential ring-fencing = Indeterminate</x:v>
      </x:c>
      <x:c r="B9" s="56" t="n">
        <x:f>COUNTIFS('Coding Matrix'!$C$2:$C$51,0,'Coding Matrix'!$M$2:$M$51,1,'Coding Matrix'!$I$2:$I$51,9)</x:f>
        <x:v>11</x:v>
      </x:c>
      <x:c r="C9" s="56" t="n">
        <x:f>COUNTIFS('Coding Matrix'!$C$2:$C$51,1,'Coding Matrix'!$M$2:$M$51,1,'Coding Matrix'!$I$2:$I$51,9)</x:f>
        <x:v>7</x:v>
      </x:c>
      <x:c r="D9" s="56" t="n">
        <x:f>SUM(B9:C9)</x:f>
        <x:v>18</x:v>
      </x:c>
      <x:c r="E9" s="56"/>
      <x:c r="F9" s="56"/>
    </x:row>
    <x:row r="10">
      <x:c r="A10" s="56" t="str">
        <x:v>Potential ring-fencing = No</x:v>
      </x:c>
      <x:c r="B10" s="56" t="n">
        <x:f>COUNTIFS('Coding Matrix'!$C$2:$C$51,0,'Coding Matrix'!$M$2:$M$51,1,'Coding Matrix'!$I$2:$I$51,0)</x:f>
        <x:v>1</x:v>
      </x:c>
      <x:c r="C10" s="56" t="n">
        <x:f>COUNTIFS('Coding Matrix'!$C$2:$C$51,1,'Coding Matrix'!$M$2:$M$51,1,'Coding Matrix'!$I$2:$I$51,0)</x:f>
        <x:v>3</x:v>
      </x:c>
      <x:c r="D10" s="56" t="n">
        <x:f>SUM(B10:C10)</x:f>
        <x:v>4</x:v>
      </x:c>
      <x:c r="E10" s="56"/>
      <x:c r="F10" s="56"/>
    </x:row>
    <x:row r="11">
      <x:c r="A11" s="56"/>
      <x:c r="B11" s="56"/>
      <x:c r="C11" s="56"/>
      <x:c r="D11" s="56"/>
      <x:c r="E11" s="56"/>
      <x:c r="F11" s="56"/>
    </x:row>
    <x:row r="12">
      <x:c r="A12" s="52" t="str">
        <x:v>Panel B — Observed boundary type among Scope-analysis eligible rows (unknown boundary excluded)</x:v>
      </x:c>
      <x:c r="B12" s="52" t="str">
        <x:v>Australia</x:v>
      </x:c>
      <x:c r="C12" s="52" t="str">
        <x:v>China / HK-China</x:v>
      </x:c>
      <x:c r="D12" s="52" t="str">
        <x:v>Total</x:v>
      </x:c>
      <x:c r="E12" s="56"/>
      <x:c r="F12" s="56"/>
    </x:row>
    <x:row r="13">
      <x:c r="A13" s="56" t="str">
        <x:v>Product / service</x:v>
      </x:c>
      <x:c r="B13" s="56" t="n">
        <x:f>COUNTIFS('Coding Matrix'!$C$2:$C$51,0,'Coding Matrix'!$M$2:$M$51,1,'Coding Matrix'!$H$2:$H$51,1)</x:f>
        <x:v>3</x:v>
      </x:c>
      <x:c r="C13" s="56" t="n">
        <x:f>COUNTIFS('Coding Matrix'!$C$2:$C$51,1,'Coding Matrix'!$M$2:$M$51,1,'Coding Matrix'!$H$2:$H$51,1)</x:f>
        <x:v>3</x:v>
      </x:c>
      <x:c r="D13" s="56" t="n">
        <x:f>SUM(B13:C13)</x:f>
        <x:v>6</x:v>
      </x:c>
      <x:c r="E13" s="56"/>
      <x:c r="F13" s="56"/>
    </x:row>
    <x:row r="14">
      <x:c r="A14" s="56" t="str">
        <x:v>Business unit / defined service</x:v>
      </x:c>
      <x:c r="B14" s="56" t="n">
        <x:f>COUNTIFS('Coding Matrix'!$C$2:$C$51,0,'Coding Matrix'!$M$2:$M$51,1,'Coding Matrix'!$H$2:$H$51,2)</x:f>
        <x:v>4</x:v>
      </x:c>
      <x:c r="C14" s="56" t="n">
        <x:f>COUNTIFS('Coding Matrix'!$C$2:$C$51,1,'Coding Matrix'!$M$2:$M$51,1,'Coding Matrix'!$H$2:$H$51,2)</x:f>
        <x:v>1</x:v>
      </x:c>
      <x:c r="D14" s="56" t="n">
        <x:f>SUM(B14:C14)</x:f>
        <x:v>5</x:v>
      </x:c>
      <x:c r="E14" s="56"/>
      <x:c r="F14" s="56"/>
    </x:row>
    <x:row r="15">
      <x:c r="A15" s="56" t="str">
        <x:v>Subsidiary / legal entity</x:v>
      </x:c>
      <x:c r="B15" s="56" t="n">
        <x:f>COUNTIFS('Coding Matrix'!$C$2:$C$51,0,'Coding Matrix'!$M$2:$M$51,1,'Coding Matrix'!$H$2:$H$51,3)</x:f>
        <x:v>2</x:v>
      </x:c>
      <x:c r="C15" s="56" t="n">
        <x:f>COUNTIFS('Coding Matrix'!$C$2:$C$51,1,'Coding Matrix'!$M$2:$M$51,1,'Coding Matrix'!$H$2:$H$51,3)</x:f>
        <x:v>2</x:v>
      </x:c>
      <x:c r="D15" s="56" t="n">
        <x:f>SUM(B15:C15)</x:f>
        <x:v>4</x:v>
      </x:c>
      <x:c r="E15" s="56"/>
      <x:c r="F15" s="56"/>
    </x:row>
    <x:row r="16">
      <x:c r="A16" s="56" t="str">
        <x:v>Multi-entity defined</x:v>
      </x:c>
      <x:c r="B16" s="56" t="n">
        <x:f>COUNTIFS('Coding Matrix'!$C$2:$C$51,0,'Coding Matrix'!$M$2:$M$51,1,'Coding Matrix'!$H$2:$H$51,4)</x:f>
        <x:v>1</x:v>
      </x:c>
      <x:c r="C16" s="56" t="n">
        <x:f>COUNTIFS('Coding Matrix'!$C$2:$C$51,1,'Coding Matrix'!$M$2:$M$51,1,'Coding Matrix'!$H$2:$H$51,4)</x:f>
        <x:v>1</x:v>
      </x:c>
      <x:c r="D16" s="56" t="n">
        <x:f>SUM(B16:C16)</x:f>
        <x:v>2</x:v>
      </x:c>
      <x:c r="E16" s="56"/>
      <x:c r="F16" s="56"/>
    </x:row>
    <x:row r="17">
      <x:c r="A17" s="56" t="str">
        <x:v>Core-business comprehensive</x:v>
      </x:c>
      <x:c r="B17" s="56" t="n">
        <x:f>COUNTIFS('Coding Matrix'!$C$2:$C$51,0,'Coding Matrix'!$M$2:$M$51,1,'Coding Matrix'!$H$2:$H$51,5)</x:f>
        <x:v>1</x:v>
      </x:c>
      <x:c r="C17" s="56" t="n">
        <x:f>COUNTIFS('Coding Matrix'!$C$2:$C$51,1,'Coding Matrix'!$M$2:$M$51,1,'Coding Matrix'!$H$2:$H$51,5)</x:f>
        <x:v>2</x:v>
      </x:c>
      <x:c r="D17" s="56" t="n">
        <x:f>SUM(B17:C17)</x:f>
        <x:v>3</x:v>
      </x:c>
      <x:c r="E17" s="56"/>
      <x:c r="F17" s="56"/>
    </x:row>
    <x:row r="18">
      <x:c r="A18" s="56"/>
      <x:c r="B18" s="56"/>
      <x:c r="C18" s="56"/>
      <x:c r="D18" s="56"/>
      <x:c r="E18" s="56"/>
      <x:c r="F18" s="56"/>
    </x:row>
    <x:row r="19">
      <x:c r="A19" s="52" t="str">
        <x:v>Panel C — Exploratory broad-vs-bounded comparison (NOT equivalent to ring-fencing)</x:v>
      </x:c>
      <x:c r="B19" s="52" t="str">
        <x:v>Australia</x:v>
      </x:c>
      <x:c r="C19" s="52" t="str">
        <x:v>China / HK-China</x:v>
      </x:c>
      <x:c r="D19" s="52" t="str">
        <x:v>Total</x:v>
      </x:c>
      <x:c r="E19" s="56"/>
      <x:c r="F19" s="56"/>
    </x:row>
    <x:row r="20">
      <x:c r="A20" s="56" t="str">
        <x:v>Bounded observed scope (codes 1–3)</x:v>
      </x:c>
      <x:c r="B20" s="56" t="n">
        <x:f>SUM(B13:B15)</x:f>
        <x:v>9</x:v>
      </x:c>
      <x:c r="C20" s="56" t="n">
        <x:f>SUM(C13:C15)</x:f>
        <x:v>6</x:v>
      </x:c>
      <x:c r="D20" s="56" t="n">
        <x:f>SUM(B20:C20)</x:f>
        <x:v>15</x:v>
      </x:c>
      <x:c r="E20" s="56"/>
      <x:c r="F20" s="56"/>
    </x:row>
    <x:row r="21">
      <x:c r="A21" s="56" t="str">
        <x:v>Broad observed scope (codes 4–5)</x:v>
      </x:c>
      <x:c r="B21" s="56" t="n">
        <x:f>SUM(B16:B17)</x:f>
        <x:v>2</x:v>
      </x:c>
      <x:c r="C21" s="56" t="n">
        <x:f>SUM(C16:C17)</x:f>
        <x:v>3</x:v>
      </x:c>
      <x:c r="D21" s="56" t="n">
        <x:f>SUM(B21:C21)</x:f>
        <x:v>5</x:v>
      </x:c>
      <x:c r="E21" s="56"/>
      <x:c r="F21" s="56"/>
    </x:row>
    <x:row r="22">
      <x:c r="A22" s="56" t="str">
        <x:v>Known boundary N</x:v>
      </x:c>
      <x:c r="B22" s="56" t="n">
        <x:f>SUM(B20:B21)</x:f>
        <x:v>11</x:v>
      </x:c>
      <x:c r="C22" s="56" t="n">
        <x:f>SUM(C20:C21)</x:f>
        <x:v>9</x:v>
      </x:c>
      <x:c r="D22" s="56" t="n">
        <x:f>SUM(B22:C22)</x:f>
        <x:v>20</x:v>
      </x:c>
      <x:c r="E22" s="56"/>
      <x:c r="F22" s="56"/>
    </x:row>
    <x:row r="23">
      <x:c r="A23" s="56"/>
      <x:c r="B23" s="56"/>
      <x:c r="C23" s="56"/>
      <x:c r="D23" s="56"/>
      <x:c r="E23" s="56"/>
      <x:c r="F23" s="56"/>
    </x:row>
    <x:row r="24">
      <x:c r="A24" s="52" t="str">
        <x:v>Inferential note</x:v>
      </x:c>
      <x:c r="B24" s="52" t="str"/>
      <x:c r="C24" s="52" t="str"/>
      <x:c r="D24" s="52" t="str"/>
      <x:c r="E24" s="52" t="str"/>
      <x:c r="F24" s="52" t="str"/>
    </x:row>
    <x:row r="25">
      <x:c r="A25" s="56" t="str">
        <x:v>Strict H1 test: not statistically informative under the pre-specified ring-fencing variable because Potential Ring-Fencing = Yes occurs 0 times in both cohorts. This is a data result, not a null finding that justifies replacing the operational definition.</x:v>
      </x:c>
      <x:c r="B25" s="56"/>
      <x:c r="C25" s="56"/>
      <x:c r="D25" s="56"/>
      <x:c r="E25" s="56"/>
      <x:c r="F25" s="56"/>
    </x:row>
    <x:row r="26">
      <x:c r="A26" s="56" t="str">
        <x:v>Exploratory boundary comparison: among rows with a known boundary type, Australia = 2/11 broad vs 9/11 bounded; China/HK-China = 3/9 broad vs 6/9 bounded. Fisher's exact test (two-sided) OR = 0.4444, p = 0.6169; this does not support a statistically significant cross-cohort difference and should not be labelled as a test of strategic ring-fencing.</x:v>
      </x:c>
      <x:c r="B26" s="56"/>
      <x:c r="C26" s="56"/>
      <x:c r="D26" s="56"/>
      <x:c r="E26" s="56"/>
      <x:c r="F26" s="56"/>
    </x:row>
    <x:row r="27">
      <x:c r="A27" s="56" t="str">
        <x:v>Interpretation rule: observed scope topology is descriptive. Strategic intent requires separate qualitative evidence. Do not convert a narrow product, service, subsidiary or GSOC certificate into a claim of deliberate geopolitical ring-fencing without corroboration.</x:v>
      </x:c>
      <x:c r="B27" s="56"/>
      <x:c r="C27" s="56"/>
      <x:c r="D27" s="56"/>
      <x:c r="E27" s="56"/>
      <x:c r="F27" s="56"/>
    </x:row>
  </x:sheetData>
  <x:mergeCells>
    <x:mergeCell ref="A1:F1"/>
    <x:mergeCell ref="A2:F2"/>
    <x:mergeCell ref="A25:F25"/>
    <x:mergeCell ref="A26:F26"/>
    <x:mergeCell ref="A27:F27"/>
  </x:mergeCells>
  <x:pageMargins left="0.7" right="0.7" top="0.75" bottom="0.75" header="0.3" footer="0.3"/>
</x:worksheet>
</file>

<file path=xl/worksheets/sheet10.xml><?xml version="1.0" encoding="utf-8"?>
<x:worksheet xmlns:x="http://schemas.openxmlformats.org/spreadsheetml/2006/main">
  <x:sheetFormatPr defaultRowHeight="15"/>
  <x:cols>
    <x:col min="1" max="1" width="9" hidden="0" customWidth="1"/>
    <x:col min="2" max="2" width="42" hidden="0" customWidth="1"/>
    <x:col min="3" max="3" width="30" hidden="0" customWidth="1"/>
    <x:col min="4" max="4" width="14" hidden="0" customWidth="1"/>
    <x:col min="5" max="5" width="22" hidden="0" customWidth="1"/>
    <x:col min="6" max="6" width="72" hidden="0" customWidth="1"/>
    <x:col min="7" max="7" width="50" hidden="0" customWidth="1"/>
    <x:col min="8" max="8" width="18" hidden="0" customWidth="1"/>
    <x:col min="9" max="9" width="45" hidden="0" customWidth="1"/>
    <x:col min="10" max="10" width="48" hidden="0" customWidth="1"/>
    <x:col min="11" max="11" width="68" hidden="0" customWidth="1"/>
  </x:cols>
  <x:sheetData>
    <x:row r="1" ht="36" customHeight="1">
      <x:c r="A1" s="66" t="str">
        <x:v>Claim ID</x:v>
      </x:c>
      <x:c r="B1" s="66" t="str">
        <x:v>Research Proposition</x:v>
      </x:c>
      <x:c r="C1" s="66" t="str">
        <x:v>Entity / Source</x:v>
      </x:c>
      <x:c r="D1" s="66" t="str">
        <x:v>Evidence Date</x:v>
      </x:c>
      <x:c r="E1" s="66" t="str">
        <x:v>Evidence Type</x:v>
      </x:c>
      <x:c r="F1" s="66" t="str">
        <x:v>Direct Evidence / Extract</x:v>
      </x:c>
      <x:c r="G1" s="66" t="str">
        <x:v>What It Supports</x:v>
      </x:c>
      <x:c r="H1" s="66" t="str">
        <x:v>Strength</x:v>
      </x:c>
      <x:c r="I1" s="66" t="str">
        <x:v>Important Limitation</x:v>
      </x:c>
      <x:c r="J1" s="66" t="str">
        <x:v>Audit Coding Implication</x:v>
      </x:c>
      <x:c r="K1" s="66" t="str">
        <x:v>Source URL</x:v>
      </x:c>
    </x:row>
    <x:row r="2" ht="72" customHeight="1">
      <x:c r="A2" s="32" t="str">
        <x:v>C1</x:v>
      </x:c>
      <x:c r="B2" s="32" t="str">
        <x:v>Chinese ISO certification can function as an outward-facing commercial/trust signal in international markets.</x:v>
      </x:c>
      <x:c r="C2" s="32" t="str">
        <x:v>China Mobile International (CMI) / SGS</x:v>
      </x:c>
      <x:c r="D2" s="32" t="str">
        <x:v>2025-12-19</x:v>
      </x:c>
      <x:c r="E2" s="32" t="str">
        <x:v>Direct corporate/CB statement</x:v>
      </x:c>
      <x:c r="F2" s="32" t="str">
        <x:v>SGS states CMI's ISO/IEC 27001:2022 certification helps it meet international market compliance requirements, protect customers/partners' critical information, support secure operation of global network services, and build trust for international telecommunications and ICT growth.</x:v>
      </x:c>
      <x:c r="G2" s="32" t="str">
        <x:v>Strongly supports an international-market / customer-trust motivation for certification.</x:v>
      </x:c>
      <x:c r="H2" s="32" t="str">
        <x:v>STRONG</x:v>
      </x:c>
      <x:c r="I2" s="32" t="str">
        <x:v>Does not show that domestic China systems were deliberately excluded because of foreign-audit concerns.</x:v>
      </x:c>
      <x:c r="J2" s="32" t="str">
        <x:v>RQ2 Theme: International market access / customer trust. Ring-fencing remains Indeterminate.</x:v>
      </x:c>
      <x:c r="K2" s="32" t="str">
        <x:v>https://www.sgs.com/en-dj/news/2025/12/sgs-awards-iso-27001-to-china-mobile-international-limited</x:v>
      </x:c>
    </x:row>
    <x:row r="3" ht="72" customHeight="1">
      <x:c r="A3" s="32" t="str">
        <x:v>C2</x:v>
      </x:c>
      <x:c r="B3" s="32" t="str">
        <x:v>An overseas subsidiary can be separately certified to serve an overseas customer base.</x:v>
      </x:c>
      <x:c r="C3" s="32" t="str">
        <x:v>Kingdee / Kingdee Singapore / Southeast Asia business</x:v>
      </x:c>
      <x:c r="D3" s="32" t="str">
        <x:v>2025-11-17</x:v>
      </x:c>
      <x:c r="E3" s="32" t="str">
        <x:v>Direct corporate statement</x:v>
      </x:c>
      <x:c r="F3" s="32" t="str">
        <x:v>Kingdee states that its Southeast Asia business obtained ISO/IEC 27001:2022 and other international certifications for the first time; its Singapore company obtained the certifications and the move would provide safer, more reliable digital services to local customers and deliver an internationally recognized trust/security commitment.</x:v>
      </x:c>
      <x:c r="G3" s="32" t="str">
        <x:v>Very strong evidence of geographically differentiated certification aligned with overseas customer-facing strategy.</x:v>
      </x:c>
      <x:c r="H3" s="32" t="str">
        <x:v>STRONG</x:v>
      </x:c>
      <x:c r="I3" s="32" t="str">
        <x:v>The article does not say the parent deliberately excluded mainland systems to avoid foreign audit.</x:v>
      </x:c>
      <x:c r="J3" s="32" t="str">
        <x:v>RQ2 Theme: Overseas expansion + customer assurance. Entity Alignment = subsidiary/business-region. Ring-fencing motivation not proven.</x:v>
      </x:c>
      <x:c r="K3" s="32" t="str">
        <x:v>https://www.kingdee.com/resources/articles/1440401633093641665</x:v>
      </x:c>
    </x:row>
    <x:row r="4" ht="72" customHeight="1">
      <x:c r="A4" s="32" t="str">
        <x:v>C3</x:v>
      </x:c>
      <x:c r="B4" s="32" t="str">
        <x:v>ISO 27001 may be explicitly tied to overseas operations and protection of international customers/partners.</x:v>
      </x:c>
      <x:c r="C4" s="32" t="str">
        <x:v>Hikvision / 2018 ESG Report</x:v>
      </x:c>
      <x:c r="D4" s="32" t="str">
        <x:v>2018</x:v>
      </x:c>
      <x:c r="E4" s="32" t="str">
        <x:v>Direct corporate statement</x:v>
      </x:c>
      <x:c r="F4" s="32" t="str">
        <x:v>Hikvision states: 'As to overseas operation, we followed the ISO 27001 information security management system principally to establish an internal management system to protect the intellectual property and privacy of customers and partners around the world to the maximum.'</x:v>
      </x:c>
      <x:c r="G4" s="32" t="str">
        <x:v>Directly links ISO 27001 to overseas operations and worldwide customers/partners.</x:v>
      </x:c>
      <x:c r="H4" s="32" t="str">
        <x:v>VERY STRONG</x:v>
      </x:c>
      <x:c r="I4" s="32" t="str">
        <x:v>The statement is about overseas operations, but does not establish intentional exclusion of domestic core networks.</x:v>
      </x:c>
      <x:c r="J4" s="32" t="str">
        <x:v>RQ2 Theme: Overseas operations / global customer protection.</x:v>
      </x:c>
      <x:c r="K4" s="32" t="str">
        <x:v>https://www.hikvision.com/content/dam/hikvision/en/investor-relations/Hikvision%202018%20ESG%20Report.pdf</x:v>
      </x:c>
    </x:row>
    <x:row r="5" ht="72" customHeight="1">
      <x:c r="A5" s="32" t="str">
        <x:v>C4</x:v>
      </x:c>
      <x:c r="B5" s="32" t="str">
        <x:v>Chinese technology firms use international certifications to reassure global customers.</x:v>
      </x:c>
      <x:c r="C5" s="32" t="str">
        <x:v>ZTE</x:v>
      </x:c>
      <x:c r="D5" s="32" t="str">
        <x:v>2022–2026</x:v>
      </x:c>
      <x:c r="E5" s="32" t="str">
        <x:v>Direct corporate statement</x:v>
      </x:c>
      <x:c r="F5" s="32" t="str">
        <x:v>ZTE says authoritative certifications demonstrate its commitment to providing secure, reliable and compliant telecommunications products and solutions for global customers; it also states headquarters and some subsidiaries hold ISO/IEC 27001 certifications.</x:v>
      </x:c>
      <x:c r="G5" s="32" t="str">
        <x:v>Supports global-customer signaling and a differentiated certification topology across HQ/subsidiaries.</x:v>
      </x:c>
      <x:c r="H5" s="32" t="str">
        <x:v>MODERATE-STRONG</x:v>
      </x:c>
      <x:c r="I5" s="32" t="str">
        <x:v>It does not identify commercial entry as the reason for ISO 27001, nor does it prove strategic exclusion.</x:v>
      </x:c>
      <x:c r="J5" s="32" t="str">
        <x:v>RQ2 Theme: Global customer trust. Coding: multi-entity / subsidiary certifications are observable; strategic motive requires qualitative triangulation.</x:v>
      </x:c>
      <x:c r="K5" s="32" t="str">
        <x:v>https://policy.zte.com.cn/privacy/highlights/openness.html</x:v>
      </x:c>
    </x:row>
    <x:row r="6" ht="72" customHeight="1">
      <x:c r="A6" s="32" t="str">
        <x:v>C5</x:v>
      </x:c>
      <x:c r="B6" s="32" t="str">
        <x:v>International and local certifications are used by Alibaba Cloud as customer-facing compliance infrastructure.</x:v>
      </x:c>
      <x:c r="C6" s="32" t="str">
        <x:v>Alibaba Cloud</x:v>
      </x:c>
      <x:c r="D6" s="32" t="str">
        <x:v>2026</x:v>
      </x:c>
      <x:c r="E6" s="32" t="str">
        <x:v>Direct service-provider statement</x:v>
      </x:c>
      <x:c r="F6" s="32" t="str">
        <x:v>Alibaba Cloud states ISO 27001 certification demonstrates internationally recognized information-security practices and the ability to provide secure, reliable services to customers; its Trust Center also presents local and international certifications and data-sovereignty compliance by market.</x:v>
      </x:c>
      <x:c r="G6" s="32" t="str">
        <x:v>Supports customer-facing compliance and jurisdiction-specific certification architecture.</x:v>
      </x:c>
      <x:c r="H6" s="32" t="str">
        <x:v>MODERATE-STRONG</x:v>
      </x:c>
      <x:c r="I6" s="32" t="str">
        <x:v>This is a service-provider compliance proposition; it does not show that the certified scope was designed to shield a domestic core.</x:v>
      </x:c>
      <x:c r="J6" s="32" t="str">
        <x:v>RQ2 Theme: Customer assurance / jurisdictional compliance.</x:v>
      </x:c>
      <x:c r="K6" s="32" t="str">
        <x:v>https://www.alibabacloud.com/help/en/security-center/compliance-check</x:v>
      </x:c>
    </x:row>
    <x:row r="7" ht="72" customHeight="1">
      <x:c r="A7" s="32" t="str">
        <x:v>C6</x:v>
      </x:c>
      <x:c r="B7" s="32" t="str">
        <x:v>Broad operational scope can coexist with customer-trust and compliance motives; ring-fencing is not inherent to Chinese firms.</x:v>
      </x:c>
      <x:c r="C7" s="32" t="str">
        <x:v>SF Holding</x:v>
      </x:c>
      <x:c r="D7" s="32" t="str">
        <x:v>2025</x:v>
      </x:c>
      <x:c r="E7" s="32" t="str">
        <x:v>Direct corporate statement</x:v>
      </x:c>
      <x:c r="F7" s="32" t="str">
        <x:v>SF states its information and network security management system has passed ISO 27001 and ISO 27701 certification and covers the company's main business operation scenarios.</x:v>
      </x:c>
      <x:c r="G7" s="32" t="str">
        <x:v>Provides an important counterexample to any claim that Chinese firms generally prefer narrow certification.</x:v>
      </x:c>
      <x:c r="H7" s="32" t="str">
        <x:v>STRONG (counterexample)</x:v>
      </x:c>
      <x:c r="I7" s="32" t="str">
        <x:v>Public statement does not provide the full certificate wording in the same page.</x:v>
      </x:c>
      <x:c r="J7" s="32" t="str">
        <x:v>RQ1/RQ2: retain as broad-scope Chinese comparator; prevents confirmation bias.</x:v>
      </x:c>
      <x:c r="K7" s="32" t="str">
        <x:v>https://www.sf-express.com/chn/sc/sustainable/company</x:v>
      </x:c>
    </x:row>
    <x:row r="8" ht="72" customHeight="1">
      <x:c r="A8" s="32" t="str">
        <x:v>C7</x:v>
      </x:c>
      <x:c r="B8" s="32" t="str">
        <x:v>Certification scope can be expanded to overseas subsidiaries as international footprint develops.</x:v>
      </x:c>
      <x:c r="C8" s="32" t="str">
        <x:v>Haier Smart Home</x:v>
      </x:c>
      <x:c r="D8" s="32" t="str">
        <x:v>2025</x:v>
      </x:c>
      <x:c r="E8" s="32" t="str">
        <x:v>Direct corporate ESG statement</x:v>
      </x:c>
      <x:c r="F8" s="32" t="str">
        <x:v>Haier states that its July 2025 recertification extended ISO 27001/27701/27019 scope for the first time to two overseas subsidiaries, Haier Singapore and Haier Vietnam.</x:v>
      </x:c>
      <x:c r="G8" s="32" t="str">
        <x:v>Supports a temporal link between certification scope expansion and overseas subsidiary coverage.</x:v>
      </x:c>
      <x:c r="H8" s="32" t="str">
        <x:v>MODERATE</x:v>
      </x:c>
      <x:c r="I8" s="32" t="str">
        <x:v>The statement does not identify commercial customers or an anti-audit motive.</x:v>
      </x:c>
      <x:c r="J8" s="32" t="str">
        <x:v>RQ2 Theme: Scope expansion with internationalization. Potential topology evidence, not strategic ring-fencing.</x:v>
      </x:c>
      <x:c r="K8" s="32" t="str">
        <x:v>https://imagegroup1.haier.com/global/csr/W020260430669489102494.pdf</x:v>
      </x:c>
    </x:row>
    <x:row r="9" ht="72" customHeight="1">
      <x:c r="A9" s="32" t="str">
        <x:v>C8</x:v>
      </x:c>
      <x:c r="B9" s="32" t="str">
        <x:v>Australian certification is explicitly used as customer assurance.</x:v>
      </x:c>
      <x:c r="C9" s="32" t="str">
        <x:v>Telstra</x:v>
      </x:c>
      <x:c r="D9" s="32" t="str">
        <x:v>2024-2026</x:v>
      </x:c>
      <x:c r="E9" s="32" t="str">
        <x:v>Direct corporate/customer-assurance statement</x:v>
      </x:c>
      <x:c r="F9" s="32" t="str">
        <x:v>Telstra says its Customer Assurance site provides enterprise customers with its latest ISO/IEC 27001 certificates and other assurance reports; the certificate scope covers products/services to enterprise, business and government customers.</x:v>
      </x:c>
      <x:c r="G9" s="32" t="str">
        <x:v>Strongly supports an outward customer-assurance function for ISO certification.</x:v>
      </x:c>
      <x:c r="H9" s="32" t="str">
        <x:v>STRONG</x:v>
      </x:c>
      <x:c r="I9" s="32" t="str">
        <x:v>This does not prove that Australian firms obtain certification primarily because of SOCI statutory obligations.</x:v>
      </x:c>
      <x:c r="J9" s="32" t="str">
        <x:v>RQ2 Theme: Customer assurance / institutional trust.</x:v>
      </x:c>
      <x:c r="K9" s="32" t="str">
        <x:v>https://www.telstra.com.au/business-enterprise/support/customer-assurance</x:v>
      </x:c>
    </x:row>
    <x:row r="10" ht="72" customHeight="1">
      <x:c r="A10" s="32" t="str">
        <x:v>C9</x:v>
      </x:c>
      <x:c r="B10" s="32" t="str">
        <x:v>Australian data-centre providers explicitly market ISO 27001 as customer assurance.</x:v>
      </x:c>
      <x:c r="C10" s="32" t="str">
        <x:v>Macquarie Data Centres</x:v>
      </x:c>
      <x:c r="D10" s="32" t="str">
        <x:v>Current</x:v>
      </x:c>
      <x:c r="E10" s="32" t="str">
        <x:v>Direct corporate statement</x:v>
      </x:c>
      <x:c r="F10" s="32" t="str">
        <x:v>Macquarie states that ISO 27001 assurance provides customers confidence that confidential information will remain confidential, and links its certification portfolio to serving government and large multinational customers.</x:v>
      </x:c>
      <x:c r="G10" s="32" t="str">
        <x:v>Supports customer assurance and market differentiation in Australia.</x:v>
      </x:c>
      <x:c r="H10" s="32" t="str">
        <x:v>STRONG</x:v>
      </x:c>
      <x:c r="I10" s="32" t="str">
        <x:v>Marketing language cannot establish the original reason for certification or a statutory causal motive.</x:v>
      </x:c>
      <x:c r="J10" s="32" t="str">
        <x:v>RQ2 Theme: Customer assurance / market differentiation.</x:v>
      </x:c>
      <x:c r="K10" s="32" t="str">
        <x:v>https://www.macquariedatacentres.com/solutions/iso-27001/</x:v>
      </x:c>
    </x:row>
    <x:row r="11" ht="72" customHeight="1">
      <x:c r="A11" s="32" t="str">
        <x:v>C10</x:v>
      </x:c>
      <x:c r="B11" s="32" t="str">
        <x:v>ISO 27001 can be integrated into Australian critical-infrastructure risk-management compliance, but is not the only permissible framework.</x:v>
      </x:c>
      <x:c r="C11" s="32" t="str">
        <x:v>Australian SOCI CIRMP Rules</x:v>
      </x:c>
      <x:c r="D11" s="32" t="str">
        <x:v>2025-04-04 / 2025-03-11</x:v>
      </x:c>
      <x:c r="E11" s="32" t="str">
        <x:v>Primary legislation</x:v>
      </x:c>
      <x:c r="F11" s="32" t="str">
        <x:v>The CIRMP Rules list AS ISO/IEC 27001 as one framework option, alongside Essential Eight, NIST CSF, C2M2 and AESCSF (with sector-specific conditions).</x:v>
      </x:c>
      <x:c r="G11" s="32" t="str">
        <x:v>Supports the proposition that ISO 27001 has a regulatory-compliance pathway under SOCI.</x:v>
      </x:c>
      <x:c r="H11" s="32" t="str">
        <x:v>VERY STRONG (legal context)</x:v>
      </x:c>
      <x:c r="I11" s="32" t="str">
        <x:v>It does not establish that ISO 27001 certification itself is universally mandatory, nor that every Australian sample firm certified because of SOCI.</x:v>
      </x:c>
      <x:c r="J11" s="32" t="str">
        <x:v>RQ2 Theme: Regulatory compatibility, not automatic statutory causation.</x:v>
      </x:c>
      <x:c r="K11" s="32" t="str">
        <x:v>https://www.legislation.gov.au/F2023L00112/2025-04-04/text/original/epub/OEBPS/document_1/document_1.html</x:v>
      </x:c>
    </x:row>
    <x:row r="12" ht="72" customHeight="1">
      <x:c r="A12" s="32" t="str">
        <x:v>C11</x:v>
      </x:c>
      <x:c r="B12" s="32" t="str">
        <x:v>Australian regulated entities operate under a risk-management model rather than an ISO-only mandate.</x:v>
      </x:c>
      <x:c r="C12" s="32" t="str">
        <x:v>Australian SOCI framework</x:v>
      </x:c>
      <x:c r="D12" s="32" t="str">
        <x:v>2025-2026</x:v>
      </x:c>
      <x:c r="E12" s="32" t="str">
        <x:v>Primary legislation / regulatory materials</x:v>
      </x:c>
      <x:c r="F12" s="32" t="str">
        <x:v>The current SOCI framework requires a critical infrastructure risk management program and permits specified cyber-security frameworks; ISO 27001 is one option rather than the sole route.</x:v>
      </x:c>
      <x:c r="G12" s="32" t="str">
        <x:v>Qualifies the thesis claim that ISO certification is directly required by Australian critical-infrastructure law.</x:v>
      </x:c>
      <x:c r="H12" s="32" t="str">
        <x:v>STRONG (qualification)</x:v>
      </x:c>
      <x:c r="I12" s="32" t="str">
        <x:v>Some sector-specific rules can impose different framework requirements; this must be coded by asset/sector.</x:v>
      </x:c>
      <x:c r="J12" s="32" t="str">
        <x:v>Do not code 'ISO-certified because SOCI' without company-specific evidence.</x:v>
      </x:c>
      <x:c r="K12" s="32" t="str">
        <x:v>https://www.legislation.gov.au/F2025L00325/asmade/downloads</x:v>
      </x:c>
    </x:row>
    <x:row r="13" ht="72" customHeight="1">
      <x:c r="A13" s="32" t="str">
        <x:v>C12</x:v>
      </x:c>
      <x:c r="B13" s="32" t="str">
        <x:v>The 'shielding domestic core networks from foreign audit oversight' proposition currently lacks direct company-level evidence.</x:v>
      </x:c>
      <x:c r="C13" s="32" t="str">
        <x:v>Cross-sample audit result (not a company claim)</x:v>
      </x:c>
      <x:c r="D13" s="32" t="str">
        <x:v>2026-09-15</x:v>
      </x:c>
      <x:c r="E13" s="32" t="str">
        <x:v>Evidence-gap finding</x:v>
      </x:c>
      <x:c r="F13" s="32" t="str">
        <x:v>The audited public materials located for CMI, Kingdee, Hikvision, ZTE, Alibaba Cloud, Haier and SF support international customers, overseas operations, regional/subsidiary scope or broad operational coverage, but none explicitly states that ISO 27001 scope was narrowed to prevent foreign auditors from accessing domestic core systems.</x:v>
      </x:c>
      <x:c r="G13" s="32" t="str">
        <x:v>Demonstrates a real evidence boundary: the current sources support internationalization/customer-trust mechanisms more strongly than an anti-foreign-audit motive.</x:v>
      </x:c>
      <x:c r="H13" s="32" t="str">
        <x:v>IMPORTANT GAP</x:v>
      </x:c>
      <x:c r="I13" s="32" t="str">
        <x:v>This is a finite public-source search result, not proof that such a motive never exists.</x:v>
      </x:c>
      <x:c r="J13" s="32" t="str">
        <x:v>RQ2: code 'Strategic exclusion motive = Not publicly evidenced' unless a primary source emerges.</x:v>
      </x:c>
      <x:c r="K13" s="32" t="str">
        <x:v>N/A – audit finding based on the sources above</x:v>
      </x:c>
    </x:row>
  </x:sheetData>
  <x:pageMargins left="0.7" right="0.7" top="0.75" bottom="0.75" header="0.3" footer="0.3"/>
  <x:tableParts count="1">
    <x:tablePart xmlns:r="http://schemas.openxmlformats.org/officeDocument/2006/relationships" r:id="R3f9e156036a74a5d"/>
  </x:tableParts>
</x:worksheet>
</file>

<file path=xl/worksheets/sheet11.xml><?xml version="1.0" encoding="utf-8"?>
<x:worksheet xmlns:x="http://schemas.openxmlformats.org/spreadsheetml/2006/main">
  <x:sheetFormatPr defaultRowHeight="15"/>
  <x:cols>
    <x:col min="1" max="1" width="34" hidden="0" customWidth="1"/>
    <x:col min="2" max="2" width="58" hidden="0" customWidth="1"/>
    <x:col min="3" max="3" width="70" hidden="0" customWidth="1"/>
    <x:col min="4" max="4" width="24" hidden="0" customWidth="1"/>
  </x:cols>
  <x:sheetData>
    <x:row r="1">
      <x:c r="A1" s="69" t="str">
        <x:v>RQ2 Evidence Synthesis — Audited Position as of 2026-09-15</x:v>
      </x:c>
      <x:c r="B1" s="69" t="str"/>
      <x:c r="C1" s="69" t="str"/>
      <x:c r="D1" s="69" t="str"/>
    </x:row>
    <x:row r="2">
      <x:c r="A2" t="str"/>
      <x:c r="B2" t="str"/>
      <x:c r="C2" t="str"/>
      <x:c r="D2" t="str"/>
    </x:row>
    <x:row r="3">
      <x:c r="A3" s="72" t="str">
        <x:v>Proposition</x:v>
      </x:c>
      <x:c r="B3" s="72" t="str">
        <x:v>Current evidence assessment</x:v>
      </x:c>
      <x:c r="C3" s="72" t="str">
        <x:v>Permitted thesis language</x:v>
      </x:c>
      <x:c r="D3" s="72" t="str">
        <x:v>Status</x:v>
      </x:c>
    </x:row>
    <x:row r="4" ht="82" customHeight="1">
      <x:c r="A4" s="32" t="str">
        <x:v>Chinese certification as outward-facing commercial/customer signal</x:v>
      </x:c>
      <x:c r="B4" s="32" t="str">
        <x:v>Supported by direct corporate/CB statements from CMI, Kingdee, Hikvision and corroborated by ZTE/Alibaba Cloud.</x:v>
      </x:c>
      <x:c r="C4" s="32" t="str">
        <x:v>Public disclosures provide evidence that some Chinese firms use ISO/IEC 27001 and related international certifications to strengthen customer trust, meet international-market compliance expectations, and support overseas operations.</x:v>
      </x:c>
      <x:c r="D4" s="32" t="str">
        <x:v>SUPPORTED</x:v>
      </x:c>
    </x:row>
    <x:row r="5" ht="82" customHeight="1">
      <x:c r="A5" s="32" t="str">
        <x:v>Certification concentrated in overseas subsidiaries/regions</x:v>
      </x:c>
      <x:c r="B5" s="32" t="str">
        <x:v>Supported by CMI and Kingdee; Haier shows later scope extension to Singapore/Vietnam.</x:v>
      </x:c>
      <x:c r="C5" s="32" t="str">
        <x:v>Some Chinese enterprises operationalize international certification through legally/operationally distinct overseas entities or business regions.</x:v>
      </x:c>
      <x:c r="D5" s="32" t="str">
        <x:v>SUPPORTED</x:v>
      </x:c>
    </x:row>
    <x:row r="6" ht="82" customHeight="1">
      <x:c r="A6" s="32" t="str">
        <x:v>Strategic scope ring-fencing</x:v>
      </x:c>
      <x:c r="B6" s="32" t="str">
        <x:v>Not yet directly supported. Narrow/defined scope exists, but motive and excluded activities are not established in public evidence.</x:v>
      </x:c>
      <x:c r="C6" s="32" t="str">
        <x:v>Observed bounded scopes are consistent with, but do not by themselves establish, strategic ring-fencing.</x:v>
      </x:c>
      <x:c r="D6" s="32" t="str">
        <x:v>NOT PROVEN</x:v>
      </x:c>
    </x:row>
    <x:row r="7" ht="82" customHeight="1">
      <x:c r="A7" s="32" t="str">
        <x:v>Shielding domestic core networks from foreign audit oversight</x:v>
      </x:c>
      <x:c r="B7" s="32" t="str">
        <x:v>No direct company-level primary evidence located in this search round.</x:v>
      </x:c>
      <x:c r="C7" s="32" t="str">
        <x:v>Do not state as an empirical finding. Present only as a theoretical mechanism requiring further evidence.</x:v>
      </x:c>
      <x:c r="D7" s="32" t="str">
        <x:v>EVIDENCE GAP</x:v>
      </x:c>
    </x:row>
    <x:row r="8" ht="82" customHeight="1">
      <x:c r="A8" s="32" t="str">
        <x:v>Australian certification as customer assurance</x:v>
      </x:c>
      <x:c r="B8" s="32" t="str">
        <x:v>Strongly supported by Telstra and Macquarie customer-assurance materials.</x:v>
      </x:c>
      <x:c r="C8" s="32" t="str">
        <x:v>Australian providers explicitly position ISO 27001 as a customer-assurance and trust mechanism.</x:v>
      </x:c>
      <x:c r="D8" s="32" t="str">
        <x:v>SUPPORTED</x:v>
      </x:c>
    </x:row>
    <x:row r="9" ht="82" customHeight="1">
      <x:c r="A9" s="32" t="str">
        <x:v>ISO 27001 as a SOCI-aligned compliance route</x:v>
      </x:c>
      <x:c r="B9" s="32" t="str">
        <x:v>Strong legal support; but ISO is one of several permitted frameworks and therefore not a universal statutory certification mandate.</x:v>
      </x:c>
      <x:c r="C9" s="32" t="str">
        <x:v>The Australian CIRMP framework creates a regulatory pathway compatible with ISO/IEC 27001, while retaining a risk-based choice of security frameworks.</x:v>
      </x:c>
      <x:c r="D9" s="32" t="str">
        <x:v>SUPPORTED WITH QUALIFICATION</x:v>
      </x:c>
    </x:row>
    <x:row r="10" ht="82" customHeight="1">
      <x:c r="A10" s="32" t="str">
        <x:v>Overall RQ2 conclusion</x:v>
      </x:c>
      <x:c r="B10" s="32" t="str">
        <x:v>Evidence currently supports international customer trust / market compliance more strongly than geopolitical avoidance or domestic-core shielding.</x:v>
      </x:c>
      <x:c r="C10" s="32" t="str">
        <x:v>Keep Dual-Compliance Trap/Paperwork Sovereignty as interpretive theory unless company-level evidence of exclusion/decoupling is added.</x:v>
      </x:c>
      <x:c r="D10" s="32" t="str">
        <x:v>CAUTIOUS / MIXED</x:v>
      </x:c>
    </x:row>
  </x:sheetData>
  <x:mergeCells>
    <x:mergeCell ref="A1:D1"/>
  </x:mergeCells>
  <x:pageMargins left="0.7" right="0.7" top="0.75" bottom="0.75" header="0.3" footer="0.3"/>
</x:worksheet>
</file>